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7B19C500-71B2-4EB6-84D1-01B522B06F5D}" xr6:coauthVersionLast="47" xr6:coauthVersionMax="47" xr10:uidLastSave="{00000000-0000-0000-0000-000000000000}"/>
  <bookViews>
    <workbookView xWindow="-120" yWindow="-120" windowWidth="38640" windowHeight="21240"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N35" i="3"/>
  <c r="N36" i="3"/>
  <c r="N37" i="3"/>
  <c r="N38" i="3"/>
  <c r="N39" i="3"/>
  <c r="N40" i="3"/>
  <c r="N34" i="3"/>
  <c r="M35" i="3"/>
  <c r="M36" i="3"/>
  <c r="M37" i="3"/>
  <c r="M38" i="3"/>
  <c r="M39" i="3"/>
  <c r="M40" i="3"/>
  <c r="M34" i="3"/>
  <c r="J35" i="3"/>
  <c r="J36" i="3"/>
  <c r="J37" i="3"/>
  <c r="J38" i="3"/>
  <c r="J39" i="3"/>
  <c r="J40" i="3"/>
  <c r="J34" i="3"/>
  <c r="K34" i="3" s="1"/>
  <c r="K35" i="3"/>
  <c r="K36" i="3"/>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<sst xmlns="http://schemas.openxmlformats.org/spreadsheetml/2006/main" count="1409" uniqueCount="1023">
  <si>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</si>
  <si>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</si>
  <si>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</si>
  <si>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</si>
  <si>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</si>
  <si>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</si>
  <si>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</si>
  <si>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</si>
  <si>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</si>
  <si>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</si>
  <si>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</si>
  <si>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</si>
  <si>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</si>
  <si>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</si>
  <si>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</si>
  <si>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</si>
  <si>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</si>
  <si>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</si>
  <si>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</si>
  <si>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</si>
  <si>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</si>
  <si>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</si>
  <si>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</si>
  <si>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</si>
  <si>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</si>
  <si>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</si>
  <si>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</si>
  <si>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</si>
  <si>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</si>
  <si>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</si>
  <si>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</si>
  <si>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</si>
  <si>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</si>
  <si>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</si>
  <si>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</si>
  <si>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</si>
  <si>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</si>
  <si>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</si>
  <si>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</si>
  <si>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</si>
  <si>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</si>
  <si>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</si>
  <si>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</si>
  <si>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</si>
  <si>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</si>
  <si>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</si>
  <si>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</si>
  <si>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</si>
  <si>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</si>
  <si>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</si>
  <si>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</si>
  <si>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</si>
  <si>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</si>
  <si>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</si>
  <si>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</si>
  <si>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</si>
  <si>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</si>
  <si>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</si>
  <si>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</si>
  <si>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</si>
  <si>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</si>
  <si>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</si>
  <si>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</si>
  <si>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</si>
  <si>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</si>
  <si>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</si>
  <si>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</si>
  <si>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</si>
  <si>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</si>
  <si>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</si>
  <si>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</si>
  <si>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</si>
  <si>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</si>
  <si>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</si>
  <si>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</si>
  <si>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</si>
  <si>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</si>
  <si>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</si>
  <si>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</si>
  <si>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</si>
  <si>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</si>
  <si>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</si>
  <si>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</si>
  <si>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</si>
  <si>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</si>
  <si>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</si>
  <si>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</si>
  <si>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</si>
  <si>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</si>
  <si>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</si>
  <si>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</si>
  <si>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</si>
  <si>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</si>
  <si>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</si>
  <si>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</si>
  <si>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</si>
  <si>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</si>
  <si>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</si>
  <si>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</si>
  <si>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</si>
  <si>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</si>
  <si>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</si>
  <si>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</si>
  <si>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</si>
  <si>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</si>
  <si>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</si>
  <si>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</si>
  <si>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</si>
  <si>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</si>
  <si>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</si>
  <si>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</si>
  <si>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</si>
  <si>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</si>
  <si>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</si>
  <si>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</si>
  <si>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</si>
  <si>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</si>
  <si>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</si>
  <si>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</si>
  <si>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</si>
  <si>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</si>
  <si>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</si>
  <si>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</si>
  <si>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</si>
  <si>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</si>
  <si>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</si>
  <si>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</si>
  <si>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</si>
  <si>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</si>
  <si>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</si>
  <si>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</si>
  <si>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</si>
  <si>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</si>
  <si>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</si>
  <si>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</si>
  <si>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</si>
  <si>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</si>
  <si>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</si>
  <si>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</si>
  <si>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</si>
  <si>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</si>
  <si>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</si>
  <si>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</si>
  <si>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</si>
  <si>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</si>
  <si>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</si>
  <si>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</si>
  <si>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</si>
  <si>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</si>
  <si>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</si>
  <si>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</si>
  <si>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</si>
  <si>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</si>
  <si>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</si>
  <si>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</si>
  <si>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</si>
  <si>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</si>
  <si>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</si>
  <si>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</si>
  <si>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</si>
  <si>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</si>
  <si>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</si>
  <si>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</si>
  <si>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</si>
  <si>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</si>
  <si>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</si>
  <si>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</si>
  <si>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</si>
  <si>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</si>
  <si>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</si>
  <si>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</si>
  <si>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</si>
  <si>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</si>
  <si>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</si>
  <si>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</si>
  <si>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</si>
  <si>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</si>
  <si>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</si>
  <si>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</si>
  <si>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</si>
  <si>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</si>
  <si>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</si>
  <si>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</si>
  <si>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</si>
  <si>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</si>
  <si>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</si>
  <si>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</si>
  <si>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</si>
  <si>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</si>
  <si>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</si>
  <si>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</si>
  <si>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</si>
  <si>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</si>
  <si>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</si>
  <si>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</si>
  <si>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</si>
  <si>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</si>
  <si>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</si>
  <si>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</si>
  <si>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</si>
  <si>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</si>
  <si>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</si>
  <si>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</si>
  <si>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</si>
  <si>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</si>
  <si>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</si>
  <si>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</si>
  <si>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</si>
  <si>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</si>
  <si>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</si>
  <si>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</si>
  <si>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</si>
  <si>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</si>
  <si>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</si>
  <si>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</si>
  <si>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</si>
  <si>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</si>
  <si>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</si>
  <si>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</si>
  <si>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</si>
  <si>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</si>
  <si>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</si>
  <si>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</si>
  <si>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</si>
  <si>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</si>
  <si>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</si>
  <si>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</si>
  <si>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</si>
  <si>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</si>
  <si>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</si>
  <si>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</si>
  <si>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</si>
  <si>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</si>
  <si>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</si>
  <si>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</si>
  <si>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</si>
  <si>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</si>
  <si>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</si>
  <si>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</si>
  <si>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</si>
  <si>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</si>
  <si>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</si>
  <si>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</si>
  <si>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</si>
  <si>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</si>
  <si>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</si>
  <si>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</si>
  <si>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</si>
  <si>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</si>
  <si>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</si>
  <si>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</si>
  <si>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</si>
  <si>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</si>
  <si>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</si>
  <si>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</si>
  <si>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</si>
  <si>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</si>
  <si>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</si>
  <si>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</si>
  <si>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</si>
  <si>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</si>
  <si>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</si>
  <si>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</si>
  <si>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</si>
  <si>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</si>
  <si>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</si>
  <si>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</si>
  <si>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</si>
  <si>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</si>
  <si>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</si>
  <si>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</si>
  <si>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</si>
  <si>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</si>
  <si>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</si>
  <si>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</si>
  <si>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</si>
  <si>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</si>
  <si>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</si>
  <si>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</si>
  <si>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</si>
  <si>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</si>
  <si>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</si>
  <si>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</si>
  <si>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</si>
  <si>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</si>
  <si>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</si>
  <si>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</si>
  <si>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</si>
  <si>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</si>
  <si>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</si>
  <si>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</si>
  <si>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</si>
  <si>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</si>
  <si>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</si>
  <si>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</si>
  <si>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</si>
  <si>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</si>
  <si>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</si>
  <si>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</si>
  <si>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</si>
  <si>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</si>
  <si>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</si>
  <si>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</si>
  <si>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</si>
  <si>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</si>
  <si>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</si>
  <si>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</si>
  <si>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</si>
  <si>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</si>
  <si>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</si>
  <si>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</si>
  <si>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</si>
  <si>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</si>
  <si>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</si>
  <si>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</si>
  <si>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</si>
  <si>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</si>
  <si>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</si>
  <si>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</si>
  <si>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</si>
  <si>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</si>
  <si>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</si>
  <si>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</si>
  <si>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</si>
  <si>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</si>
  <si>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</si>
  <si>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</si>
  <si>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</si>
  <si>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</si>
  <si>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</si>
  <si>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</si>
  <si>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</si>
  <si>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</si>
  <si>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</si>
  <si>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</si>
  <si>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</si>
  <si>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</si>
  <si>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</si>
  <si>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</si>
  <si>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</si>
  <si>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</si>
  <si>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</si>
  <si>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</si>
  <si>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</si>
  <si>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</si>
  <si>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</si>
  <si>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</si>
  <si>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</si>
  <si>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</si>
  <si>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</si>
  <si>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</si>
  <si>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</si>
  <si>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</si>
  <si>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</si>
  <si>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</si>
  <si>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</si>
  <si>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</si>
  <si>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</si>
  <si>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</si>
  <si>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</si>
  <si>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</si>
  <si>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</si>
  <si>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</si>
  <si>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</si>
  <si>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</si>
  <si>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</si>
  <si>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</si>
  <si>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</si>
  <si>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</si>
  <si>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</si>
  <si>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</si>
  <si>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</si>
  <si>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</si>
  <si>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</si>
  <si>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</si>
  <si>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</si>
  <si>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</si>
  <si>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</si>
  <si>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</si>
  <si>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</si>
  <si>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</si>
  <si>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</si>
  <si>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</si>
  <si>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</si>
  <si>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</si>
  <si>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</si>
  <si>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</si>
  <si>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</si>
  <si>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</si>
  <si>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</si>
  <si>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</si>
  <si>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</si>
  <si>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</si>
  <si>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</si>
  <si>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</si>
  <si>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</si>
  <si>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</si>
  <si>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</si>
  <si>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</si>
  <si>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</si>
  <si>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</si>
  <si>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</si>
  <si>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</si>
  <si>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</si>
  <si>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</si>
  <si>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</si>
  <si>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</si>
  <si>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</si>
  <si>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</si>
  <si>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</si>
  <si>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</si>
  <si>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</si>
  <si>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</si>
  <si>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</si>
  <si>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</si>
  <si>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</si>
  <si>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</si>
  <si>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</si>
  <si>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</si>
  <si>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</si>
  <si>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</si>
  <si>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</si>
  <si>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</si>
  <si>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</si>
  <si>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</si>
  <si>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</si>
  <si>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</si>
  <si>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</si>
  <si>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</si>
  <si>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</si>
  <si>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</si>
  <si>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</si>
  <si>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</si>
  <si>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</si>
  <si>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</si>
  <si>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</si>
  <si>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</si>
  <si>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</si>
  <si>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</si>
  <si>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</si>
  <si>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</si>
  <si>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</si>
  <si>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</si>
  <si>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</si>
  <si>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</si>
  <si>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</si>
  <si>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</si>
  <si>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</si>
  <si>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</si>
  <si>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</si>
  <si>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</si>
  <si>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</si>
  <si>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</si>
  <si>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</si>
  <si>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</si>
  <si>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</si>
  <si>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</si>
  <si>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</si>
  <si>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</si>
  <si>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</si>
  <si>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</si>
  <si>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</si>
  <si>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</si>
  <si>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</si>
  <si>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</si>
  <si>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</si>
  <si>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</si>
  <si>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</si>
  <si>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</si>
  <si>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</si>
  <si>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</si>
  <si>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</si>
  <si>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</si>
  <si>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</si>
  <si>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</si>
  <si>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</si>
  <si>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</si>
  <si>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</si>
  <si>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</si>
  <si>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</si>
  <si>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</si>
  <si>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</si>
  <si>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</si>
  <si>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</si>
  <si>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</si>
  <si>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</si>
  <si>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</si>
  <si>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</si>
  <si>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</si>
  <si>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</si>
  <si>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</si>
  <si>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</si>
  <si>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</si>
  <si>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</si>
  <si>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</si>
  <si>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</si>
  <si>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</si>
  <si>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</si>
  <si>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</si>
  <si>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</si>
  <si>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</si>
  <si>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</si>
  <si>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</si>
  <si>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</si>
  <si>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</si>
  <si>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</si>
  <si>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</si>
  <si>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</si>
  <si>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</si>
  <si>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</si>
  <si>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</si>
  <si>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</si>
  <si>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</si>
  <si>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</si>
  <si>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</si>
  <si>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</si>
  <si>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</si>
  <si>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</si>
  <si>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</si>
  <si>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</si>
  <si>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</si>
  <si>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</si>
  <si>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</si>
  <si>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</si>
  <si>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</si>
  <si>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</si>
  <si>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</si>
  <si>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</si>
  <si>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</si>
  <si>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</si>
  <si>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</si>
  <si>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</si>
  <si>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</si>
  <si>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</si>
  <si>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</si>
  <si>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</si>
  <si>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</si>
  <si>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</si>
  <si>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</si>
  <si>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</si>
  <si>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</si>
  <si>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</si>
  <si>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</si>
  <si>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</si>
  <si>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</si>
  <si>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</si>
  <si>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</si>
  <si>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</si>
  <si>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</si>
  <si>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</si>
  <si>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</si>
  <si>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</si>
  <si>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</si>
  <si>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</si>
  <si>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</si>
  <si>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</si>
  <si>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</si>
  <si>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</si>
  <si>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</si>
  <si>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</si>
  <si>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</si>
  <si>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</si>
  <si>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</si>
  <si>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</si>
  <si>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</si>
  <si>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</si>
  <si>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</si>
  <si>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</si>
  <si>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</si>
  <si>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</si>
  <si>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</si>
  <si>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</si>
  <si>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</si>
  <si>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</si>
  <si>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</si>
  <si>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</si>
  <si>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</si>
  <si>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</si>
  <si>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</si>
  <si>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</si>
  <si>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</si>
  <si>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</si>
  <si>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</si>
  <si>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</si>
  <si>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</si>
  <si>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</si>
  <si>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</si>
  <si>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</si>
  <si>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</si>
  <si>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</si>
  <si>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</si>
  <si>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</si>
  <si>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</si>
  <si>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</si>
  <si>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</si>
  <si>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</si>
  <si>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</si>
  <si>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</si>
  <si>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</si>
  <si>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</si>
  <si>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</si>
  <si>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</si>
  <si>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</si>
  <si>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</si>
  <si>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</si>
  <si>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</si>
  <si>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</si>
  <si>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</si>
  <si>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</si>
  <si>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</si>
  <si>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</si>
  <si>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</si>
  <si>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</si>
  <si>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</si>
  <si>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</si>
  <si>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</si>
  <si>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</si>
  <si>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</si>
  <si>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</si>
  <si>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</si>
  <si>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</si>
  <si>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</si>
  <si>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</si>
  <si>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</si>
  <si>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</si>
  <si>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</si>
  <si>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</si>
  <si>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</si>
  <si>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</si>
  <si>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</si>
  <si>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</si>
  <si>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</si>
  <si>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</si>
  <si>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</si>
  <si>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</si>
  <si>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</si>
  <si>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</si>
  <si>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</si>
  <si>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</si>
  <si>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</si>
  <si>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</si>
  <si>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</si>
  <si>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</si>
  <si>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</si>
  <si>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</si>
  <si>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</si>
  <si>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</si>
  <si>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</si>
  <si>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</si>
  <si>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</si>
  <si>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</si>
  <si>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</si>
  <si>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</si>
  <si>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</si>
  <si>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</si>
  <si>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</si>
  <si>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</si>
  <si>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</si>
  <si>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</si>
  <si>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</si>
  <si>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</si>
  <si>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</si>
  <si>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</si>
  <si>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</si>
  <si>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</si>
  <si>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</si>
  <si>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</si>
  <si>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</si>
  <si>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</si>
  <si>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</si>
  <si>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</si>
  <si>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</si>
  <si>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</si>
  <si>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</si>
  <si>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</si>
  <si>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</si>
  <si>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</si>
  <si>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</si>
  <si>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</si>
  <si>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</si>
  <si>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</si>
  <si>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</si>
  <si>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</si>
  <si>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</si>
  <si>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</si>
  <si>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</si>
  <si>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</si>
  <si>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</si>
  <si>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</si>
  <si>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</si>
  <si>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</si>
  <si>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</si>
  <si>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</si>
  <si>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</si>
  <si>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</si>
  <si>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</si>
  <si>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</si>
  <si>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</si>
  <si>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</si>
  <si>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</si>
  <si>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</si>
  <si>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</si>
  <si>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</si>
  <si>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</si>
  <si>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</si>
  <si>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</si>
  <si>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</si>
  <si>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</si>
  <si>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</si>
  <si>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</si>
  <si>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</si>
  <si>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</si>
  <si>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</si>
  <si>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</si>
  <si>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</si>
  <si>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</si>
  <si>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</si>
  <si>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</si>
  <si>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</si>
  <si>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</si>
  <si>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</si>
  <si>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</si>
  <si>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</si>
  <si>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</si>
  <si>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</si>
  <si>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</si>
  <si>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</si>
  <si>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</si>
  <si>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</si>
  <si>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</si>
  <si>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</si>
  <si>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</si>
  <si>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</si>
  <si>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</si>
  <si>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</si>
  <si>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</si>
  <si>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</si>
  <si>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</si>
  <si>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</si>
  <si>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</si>
  <si>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</si>
  <si>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</si>
  <si>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</si>
  <si>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</si>
  <si>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</si>
  <si>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</si>
  <si>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</si>
  <si>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</si>
  <si>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</si>
  <si>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</si>
  <si>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</si>
  <si>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</si>
  <si>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</si>
  <si>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</si>
  <si>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</si>
  <si>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</si>
  <si>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</si>
  <si>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</si>
  <si>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</si>
  <si>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</si>
  <si>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</si>
  <si>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</si>
  <si>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</si>
  <si>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</si>
  <si>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</si>
  <si>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</si>
  <si>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</si>
  <si>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</si>
  <si>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</si>
  <si>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</si>
  <si>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</si>
  <si>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</si>
  <si>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</si>
  <si>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</si>
  <si>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</si>
  <si>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</si>
  <si>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</si>
  <si>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</si>
  <si>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</si>
  <si>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</si>
  <si>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</si>
  <si>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</si>
  <si>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</si>
  <si>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</si>
  <si>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</si>
  <si>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</si>
  <si>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</si>
  <si>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</si>
  <si>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</si>
  <si>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</si>
  <si>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</si>
  <si>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</si>
  <si>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</si>
  <si>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</si>
  <si>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</si>
  <si>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</si>
  <si>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</si>
  <si>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</si>
  <si>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</si>
  <si>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</si>
  <si>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</si>
  <si>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</si>
  <si>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</si>
  <si>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</si>
  <si>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</si>
  <si>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</si>
  <si>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</si>
  <si>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</si>
  <si>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</si>
  <si>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</si>
  <si>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</si>
  <si>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</si>
  <si>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</si>
  <si>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</si>
  <si>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</si>
  <si>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</si>
  <si>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</si>
  <si>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</si>
  <si>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</si>
  <si>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</si>
  <si>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</si>
  <si>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</si>
  <si>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</si>
  <si>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</si>
  <si>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</si>
  <si>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</si>
  <si>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</si>
  <si>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</si>
  <si>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</si>
  <si>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</si>
  <si>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</si>
  <si>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</si>
  <si>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</si>
  <si>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</si>
  <si>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</si>
  <si>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</si>
  <si>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</si>
  <si>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</si>
  <si>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</si>
  <si>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</si>
  <si>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</si>
  <si>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</si>
  <si>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</si>
  <si>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</si>
  <si>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</si>
  <si>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</si>
  <si>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</si>
  <si>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</si>
  <si>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</si>
  <si>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</si>
  <si>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</si>
  <si>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</si>
  <si>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</si>
  <si>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</si>
  <si>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</si>
  <si>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</si>
  <si>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</si>
  <si>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</si>
  <si>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</si>
  <si>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</si>
  <si>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</si>
  <si>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</si>
  <si>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</si>
  <si>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</si>
  <si>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</si>
  <si>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</si>
  <si>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</si>
  <si>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</si>
  <si>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</si>
  <si>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</si>
  <si>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</si>
  <si>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</si>
  <si>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</si>
  <si>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</si>
  <si>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</si>
  <si>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</si>
  <si>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</si>
  <si>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</si>
  <si>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</si>
  <si>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</si>
  <si>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</si>
  <si>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</si>
  <si>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</si>
  <si>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</si>
  <si>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</si>
  <si>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</si>
  <si>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</si>
  <si>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</si>
  <si>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</si>
  <si>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</si>
  <si>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</si>
  <si>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</si>
  <si>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</si>
  <si>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</si>
  <si>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</si>
  <si>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</si>
  <si>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</si>
  <si>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</si>
  <si>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</si>
  <si>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</si>
  <si>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</si>
  <si>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</si>
  <si>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</si>
  <si>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</si>
  <si>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</si>
  <si>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</si>
  <si>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</si>
  <si>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</si>
  <si>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</si>
  <si>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</si>
  <si>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</si>
  <si>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</si>
  <si>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</si>
  <si>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</si>
  <si>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</si>
  <si>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</si>
  <si>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</si>
  <si>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</si>
  <si>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</si>
  <si>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</si>
  <si>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</si>
  <si>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</si>
  <si>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</si>
  <si>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</si>
  <si>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</si>
  <si>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</si>
  <si>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</si>
  <si>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</si>
  <si>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</si>
  <si>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</si>
  <si>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</si>
  <si>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</si>
  <si>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</si>
  <si>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</si>
  <si>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</si>
  <si>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</si>
  <si>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</si>
  <si>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</si>
  <si>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</si>
  <si>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</si>
  <si>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</si>
  <si>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</si>
  <si>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</si>
  <si>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</si>
  <si>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</si>
  <si>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</si>
  <si>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</si>
  <si>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</si>
  <si>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</si>
  <si>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</si>
  <si>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</si>
  <si>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</si>
  <si>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</si>
  <si>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</si>
  <si>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</si>
  <si>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</si>
  <si>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</si>
  <si>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</si>
  <si>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</si>
  <si>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</si>
  <si>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</si>
  <si>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</si>
  <si>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</si>
  <si>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</si>
  <si>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</si>
  <si>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</si>
  <si>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</si>
  <si>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</si>
  <si>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</si>
  <si>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</si>
  <si>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</si>
  <si>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</si>
  <si>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</si>
  <si>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</si>
  <si>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</si>
  <si>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</si>
  <si>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</si>
  <si>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</si>
  <si>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</si>
  <si>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</si>
  <si>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</si>
  <si>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</si>
  <si>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</si>
  <si>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</si>
  <si>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</si>
  <si>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</si>
  <si>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</si>
  <si>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</si>
  <si>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</si>
  <si>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</si>
  <si>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</si>
  <si>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</si>
  <si>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</si>
  <si>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</si>
  <si>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</si>
  <si>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</si>
  <si>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</si>
  <si>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</si>
  <si>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</si>
  <si>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</si>
  <si>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</si>
  <si>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</si>
  <si>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</si>
  <si>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</si>
  <si>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</si>
  <si>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</si>
  <si>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</si>
  <si>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</si>
  <si>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</si>
  <si>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</si>
  <si>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</si>
  <si>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</si>
  <si>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</si>
  <si>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</si>
  <si>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</si>
  <si>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</si>
  <si>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</si>
  <si>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</si>
  <si>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</si>
  <si>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</si>
  <si>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方块速度-18，仅本轮有效</t>
    <phoneticPr fontId="5" type="noConversion"/>
  </si>
  <si>
    <t>接下来20个方块速度变为1，仅本轮有效</t>
    <phoneticPr fontId="5" type="noConversion"/>
  </si>
  <si>
    <t>筒、万、条都有相同数字的刻子</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</si>
</sst>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abSelected="1" zoomScale="190" zoomScaleNormal="190" workbookViewId="0">
      <selection activeCell="G10" sqref="G10"/>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1022</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917</v>
      </c>
      <c r="C37" s="7" t="s">
        <v>918</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5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45" zoomScaleNormal="145" workbookViewId="0">
      <selection activeCell="G15" sqref="G15"/>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282</v>
      </c>
      <c r="E1" s="7" t="s">
        <v>86</v>
      </c>
      <c r="F1" s="24" t="s">
        <v>258</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1019</v>
      </c>
    </row>
    <row r="7" spans="1:9" x14ac:dyDescent="0.15">
      <c r="A7" s="8">
        <v>6</v>
      </c>
      <c r="B7" s="8" t="s">
        <v>95</v>
      </c>
      <c r="C7" s="9" t="s">
        <v>96</v>
      </c>
      <c r="D7" s="8">
        <v>1</v>
      </c>
      <c r="E7" s="8">
        <v>200</v>
      </c>
      <c r="F7" s="6" t="s">
        <v>1020</v>
      </c>
      <c r="I7" s="17"/>
    </row>
    <row r="8" spans="1:9" x14ac:dyDescent="0.15">
      <c r="A8" s="8">
        <v>7</v>
      </c>
      <c r="B8" s="52" t="s">
        <v>713</v>
      </c>
      <c r="C8" s="9" t="s">
        <v>98</v>
      </c>
      <c r="E8" s="8">
        <v>200</v>
      </c>
      <c r="F8" s="6" t="s">
        <v>1021</v>
      </c>
    </row>
    <row r="9" spans="1:9" x14ac:dyDescent="0.15">
      <c r="A9" s="8">
        <v>8</v>
      </c>
      <c r="B9" s="8" t="s">
        <v>99</v>
      </c>
      <c r="C9" s="9" t="s">
        <v>100</v>
      </c>
      <c r="D9" s="8">
        <v>1</v>
      </c>
      <c r="E9" s="8">
        <v>200</v>
      </c>
      <c r="F9" s="6" t="s">
        <v>351</v>
      </c>
    </row>
    <row r="10" spans="1:9" x14ac:dyDescent="0.15">
      <c r="A10" s="8">
        <v>9</v>
      </c>
      <c r="B10" s="18" t="s">
        <v>280</v>
      </c>
      <c r="C10" s="19" t="s">
        <v>279</v>
      </c>
      <c r="D10" s="18">
        <v>1</v>
      </c>
      <c r="E10" s="8">
        <v>200</v>
      </c>
      <c r="F10" s="17" t="s">
        <v>278</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row>
    <row r="13" spans="1:9" x14ac:dyDescent="0.15">
      <c r="A13" s="8">
        <v>12</v>
      </c>
      <c r="B13" s="52" t="s">
        <v>107</v>
      </c>
      <c r="C13" s="9" t="s">
        <v>347</v>
      </c>
      <c r="E13" s="8">
        <v>200</v>
      </c>
      <c r="F13" s="6" t="s">
        <v>250</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7" x14ac:dyDescent="0.15">
      <c r="A17" s="8">
        <v>16</v>
      </c>
      <c r="B17" s="51" t="s">
        <v>244</v>
      </c>
      <c r="C17" s="19" t="s">
        <v>245</v>
      </c>
      <c r="D17" s="18"/>
      <c r="E17" s="8">
        <v>200</v>
      </c>
      <c r="F17" s="6" t="s">
        <v>364</v>
      </c>
    </row>
    <row r="18" spans="1:7" x14ac:dyDescent="0.15">
      <c r="A18" s="8">
        <v>17</v>
      </c>
      <c r="B18" s="8" t="s">
        <v>114</v>
      </c>
      <c r="C18" s="9" t="s">
        <v>115</v>
      </c>
      <c r="D18" s="8">
        <v>1</v>
      </c>
      <c r="E18" s="8">
        <v>200</v>
      </c>
      <c r="F18" s="6" t="s">
        <v>356</v>
      </c>
    </row>
    <row r="19" spans="1:7" x14ac:dyDescent="0.15">
      <c r="A19" s="8">
        <v>18</v>
      </c>
      <c r="B19" s="18" t="s">
        <v>242</v>
      </c>
      <c r="C19" s="19" t="s">
        <v>243</v>
      </c>
      <c r="D19" s="18">
        <v>1</v>
      </c>
      <c r="E19" s="8">
        <v>200</v>
      </c>
      <c r="F19" s="6" t="s">
        <v>357</v>
      </c>
    </row>
    <row r="20" spans="1:7" x14ac:dyDescent="0.15">
      <c r="A20" s="8">
        <v>19</v>
      </c>
      <c r="B20" s="51" t="s">
        <v>259</v>
      </c>
      <c r="C20" s="19" t="s">
        <v>260</v>
      </c>
      <c r="D20" s="18"/>
      <c r="E20" s="8">
        <v>200</v>
      </c>
      <c r="F20" s="6" t="s">
        <v>358</v>
      </c>
    </row>
    <row r="21" spans="1:7" x14ac:dyDescent="0.15">
      <c r="A21" s="8">
        <v>20</v>
      </c>
      <c r="B21" s="8" t="s">
        <v>116</v>
      </c>
      <c r="C21" s="9" t="s">
        <v>117</v>
      </c>
      <c r="D21" s="8">
        <v>1</v>
      </c>
      <c r="E21" s="8">
        <v>200</v>
      </c>
      <c r="F21" s="6" t="s">
        <v>370</v>
      </c>
      <c r="G21" s="17"/>
    </row>
    <row r="22" spans="1:7" x14ac:dyDescent="0.15">
      <c r="A22" s="8">
        <v>21</v>
      </c>
      <c r="B22" s="8" t="s">
        <v>108</v>
      </c>
      <c r="C22" s="9" t="s">
        <v>109</v>
      </c>
      <c r="D22" s="8">
        <v>1</v>
      </c>
      <c r="E22" s="8">
        <v>200</v>
      </c>
      <c r="F22" s="6" t="s">
        <v>993</v>
      </c>
    </row>
    <row r="23" spans="1:7" x14ac:dyDescent="0.15">
      <c r="A23" s="8">
        <v>22</v>
      </c>
      <c r="B23" s="51" t="s">
        <v>283</v>
      </c>
      <c r="C23" s="9" t="s">
        <v>111</v>
      </c>
      <c r="E23" s="8">
        <v>200</v>
      </c>
      <c r="F23" s="6" t="s">
        <v>251</v>
      </c>
    </row>
    <row r="24" spans="1:7" x14ac:dyDescent="0.15">
      <c r="A24" s="8">
        <v>23</v>
      </c>
      <c r="B24" s="18" t="s">
        <v>327</v>
      </c>
      <c r="C24" s="19" t="s">
        <v>328</v>
      </c>
      <c r="D24" s="18">
        <v>1</v>
      </c>
      <c r="E24" s="8">
        <v>200</v>
      </c>
      <c r="F24" s="6" t="s">
        <v>360</v>
      </c>
    </row>
    <row r="25" spans="1:7" x14ac:dyDescent="0.15">
      <c r="A25" s="8">
        <v>24</v>
      </c>
      <c r="B25" s="51" t="s">
        <v>234</v>
      </c>
      <c r="C25" s="26" t="s">
        <v>110</v>
      </c>
      <c r="E25" s="8">
        <v>200</v>
      </c>
      <c r="F25" s="6" t="s">
        <v>361</v>
      </c>
    </row>
    <row r="26" spans="1:7" s="2" customFormat="1" ht="15.75" x14ac:dyDescent="0.15">
      <c r="A26" s="10">
        <v>1</v>
      </c>
      <c r="B26" s="1" t="s">
        <v>118</v>
      </c>
      <c r="C26" s="9" t="s">
        <v>119</v>
      </c>
      <c r="D26" s="8">
        <v>1</v>
      </c>
      <c r="E26" s="8">
        <v>300</v>
      </c>
      <c r="F26" s="2" t="s">
        <v>1018</v>
      </c>
    </row>
    <row r="27" spans="1:7" ht="15.75" x14ac:dyDescent="0.15">
      <c r="A27" s="10">
        <v>2</v>
      </c>
      <c r="B27" s="53" t="s">
        <v>904</v>
      </c>
      <c r="C27" s="9" t="s">
        <v>908</v>
      </c>
      <c r="D27" s="8">
        <v>1</v>
      </c>
      <c r="E27" s="8">
        <v>300</v>
      </c>
      <c r="F27" s="2" t="s">
        <v>909</v>
      </c>
    </row>
    <row r="28" spans="1:7" x14ac:dyDescent="0.15">
      <c r="A28" s="10">
        <v>3</v>
      </c>
      <c r="B28" s="8" t="s">
        <v>122</v>
      </c>
      <c r="C28" s="9" t="s">
        <v>123</v>
      </c>
      <c r="D28" s="8">
        <v>1</v>
      </c>
      <c r="E28" s="8">
        <v>300</v>
      </c>
      <c r="F28" s="6" t="s">
        <v>711</v>
      </c>
    </row>
    <row r="29" spans="1:7" x14ac:dyDescent="0.15">
      <c r="A29" s="10">
        <v>4</v>
      </c>
      <c r="B29" s="52" t="s">
        <v>124</v>
      </c>
      <c r="C29" s="9" t="s">
        <v>125</v>
      </c>
      <c r="E29" s="8">
        <v>300</v>
      </c>
      <c r="F29" s="6" t="s">
        <v>362</v>
      </c>
    </row>
    <row r="30" spans="1:7" x14ac:dyDescent="0.15">
      <c r="A30" s="10">
        <v>5</v>
      </c>
      <c r="B30" s="51" t="s">
        <v>205</v>
      </c>
      <c r="C30" s="9" t="s">
        <v>126</v>
      </c>
      <c r="E30" s="8">
        <v>300</v>
      </c>
      <c r="F30" s="6" t="s">
        <v>363</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375</v>
      </c>
    </row>
    <row r="33" spans="1:6" x14ac:dyDescent="0.15">
      <c r="A33" s="10">
        <v>8</v>
      </c>
      <c r="B33" s="52" t="s">
        <v>130</v>
      </c>
      <c r="C33" s="9" t="s">
        <v>131</v>
      </c>
      <c r="E33" s="8">
        <v>300</v>
      </c>
      <c r="F33" s="6" t="s">
        <v>376</v>
      </c>
    </row>
    <row r="34" spans="1:6" x14ac:dyDescent="0.15">
      <c r="A34" s="10">
        <v>9</v>
      </c>
      <c r="B34" s="18" t="s">
        <v>236</v>
      </c>
      <c r="C34" s="19" t="s">
        <v>235</v>
      </c>
      <c r="D34" s="18">
        <v>1</v>
      </c>
      <c r="E34" s="8">
        <v>300</v>
      </c>
      <c r="F34" s="6" t="s">
        <v>1004</v>
      </c>
    </row>
    <row r="35" spans="1:6" x14ac:dyDescent="0.15">
      <c r="A35" s="10">
        <v>10</v>
      </c>
      <c r="B35" s="18" t="s">
        <v>261</v>
      </c>
      <c r="C35" s="19" t="s">
        <v>264</v>
      </c>
      <c r="D35" s="18">
        <v>1</v>
      </c>
      <c r="E35" s="8">
        <v>300</v>
      </c>
      <c r="F35" s="9" t="s">
        <v>377</v>
      </c>
    </row>
    <row r="36" spans="1:6" x14ac:dyDescent="0.15">
      <c r="A36" s="10">
        <v>11</v>
      </c>
      <c r="B36" s="18" t="s">
        <v>262</v>
      </c>
      <c r="C36" s="19" t="s">
        <v>265</v>
      </c>
      <c r="D36" s="18">
        <v>1</v>
      </c>
      <c r="E36" s="8">
        <v>300</v>
      </c>
      <c r="F36" s="9" t="s">
        <v>378</v>
      </c>
    </row>
    <row r="37" spans="1:6" x14ac:dyDescent="0.15">
      <c r="A37" s="10">
        <v>12</v>
      </c>
      <c r="B37" s="18" t="s">
        <v>263</v>
      </c>
      <c r="C37" s="19" t="s">
        <v>266</v>
      </c>
      <c r="D37" s="18">
        <v>1</v>
      </c>
      <c r="E37" s="8">
        <v>300</v>
      </c>
      <c r="F37" s="9" t="s">
        <v>379</v>
      </c>
    </row>
    <row r="38" spans="1:6" x14ac:dyDescent="0.15">
      <c r="A38" s="10">
        <v>13</v>
      </c>
      <c r="B38" s="52" t="s">
        <v>132</v>
      </c>
      <c r="C38" s="9" t="s">
        <v>133</v>
      </c>
      <c r="E38" s="8">
        <v>300</v>
      </c>
      <c r="F38" s="6" t="s">
        <v>653</v>
      </c>
    </row>
    <row r="39" spans="1:6" x14ac:dyDescent="0.15">
      <c r="A39" s="10">
        <v>14</v>
      </c>
      <c r="B39" s="52" t="s">
        <v>343</v>
      </c>
      <c r="C39" s="9" t="s">
        <v>344</v>
      </c>
      <c r="E39" s="8">
        <v>300</v>
      </c>
      <c r="F39" s="6" t="s">
        <v>381</v>
      </c>
    </row>
    <row r="40" spans="1:6" x14ac:dyDescent="0.15">
      <c r="A40" s="10">
        <v>15</v>
      </c>
      <c r="B40" s="51" t="s">
        <v>267</v>
      </c>
      <c r="C40" s="27" t="s">
        <v>268</v>
      </c>
      <c r="D40" s="18"/>
      <c r="E40" s="8">
        <v>8000</v>
      </c>
      <c r="F40" s="6" t="s">
        <v>380</v>
      </c>
    </row>
    <row r="41" spans="1:6" x14ac:dyDescent="0.15">
      <c r="A41" s="10">
        <v>16</v>
      </c>
      <c r="B41" s="52" t="s">
        <v>134</v>
      </c>
      <c r="C41" s="26" t="s">
        <v>135</v>
      </c>
      <c r="E41" s="8">
        <v>12000</v>
      </c>
      <c r="F41" s="6" t="s">
        <v>382</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30" sqref="H30"/>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1006</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1011</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1013</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905</v>
      </c>
      <c r="D27" s="8" t="s">
        <v>906</v>
      </c>
      <c r="E27" s="8">
        <v>1</v>
      </c>
      <c r="F27" s="8">
        <v>500</v>
      </c>
      <c r="G27" s="8"/>
      <c r="H27" s="6" t="s">
        <v>907</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31</v>
      </c>
      <c r="C31" s="9" t="s">
        <v>164</v>
      </c>
      <c r="D31" s="8" t="s">
        <v>165</v>
      </c>
      <c r="E31" s="8">
        <v>1</v>
      </c>
      <c r="F31" s="8">
        <v>500</v>
      </c>
      <c r="G31" s="8">
        <v>4</v>
      </c>
      <c r="H31" s="6" t="s">
        <v>1005</v>
      </c>
    </row>
    <row r="32" spans="1:14" x14ac:dyDescent="0.15">
      <c r="A32" s="8">
        <v>31</v>
      </c>
      <c r="B32" s="8">
        <v>30</v>
      </c>
      <c r="C32" s="48" t="s">
        <v>147</v>
      </c>
      <c r="D32" s="8" t="s">
        <v>220</v>
      </c>
      <c r="F32" s="8">
        <v>500</v>
      </c>
      <c r="G32" s="8">
        <v>4</v>
      </c>
      <c r="H32" s="6" t="s">
        <v>398</v>
      </c>
      <c r="J32" s="6">
        <v>10</v>
      </c>
    </row>
    <row r="33" spans="1:14" x14ac:dyDescent="0.15">
      <c r="A33" s="8">
        <v>33</v>
      </c>
      <c r="B33" s="8">
        <v>32</v>
      </c>
      <c r="C33" s="49" t="s">
        <v>228</v>
      </c>
      <c r="D33" s="8" t="s">
        <v>229</v>
      </c>
      <c r="F33" s="8">
        <v>500</v>
      </c>
      <c r="G33" s="8">
        <v>6</v>
      </c>
      <c r="H33" s="6" t="s">
        <v>1012</v>
      </c>
    </row>
    <row r="34" spans="1:14" x14ac:dyDescent="0.15">
      <c r="A34" s="8">
        <v>34</v>
      </c>
      <c r="B34" s="8">
        <v>33</v>
      </c>
      <c r="C34" s="47" t="s">
        <v>272</v>
      </c>
      <c r="D34" s="28" t="s">
        <v>296</v>
      </c>
      <c r="F34" s="8">
        <v>500</v>
      </c>
      <c r="G34" s="8">
        <v>8</v>
      </c>
      <c r="H34" s="6" t="s">
        <v>712</v>
      </c>
      <c r="I34" s="6">
        <v>1</v>
      </c>
      <c r="J34" s="6">
        <f>2^(I34)</f>
        <v>2</v>
      </c>
      <c r="K34" s="6">
        <f>$J$32*J34</f>
        <v>20</v>
      </c>
      <c r="M34" s="6">
        <f>4^(I34)</f>
        <v>4</v>
      </c>
      <c r="N34" s="6">
        <f>$J$32*M34</f>
        <v>40</v>
      </c>
    </row>
    <row r="35" spans="1:14" x14ac:dyDescent="0.15">
      <c r="A35" s="8">
        <v>32</v>
      </c>
      <c r="B35" s="8">
        <v>34</v>
      </c>
      <c r="C35" s="47" t="s">
        <v>217</v>
      </c>
      <c r="D35" s="28" t="s">
        <v>232</v>
      </c>
      <c r="F35" s="8">
        <v>500</v>
      </c>
      <c r="G35" s="8">
        <v>8</v>
      </c>
      <c r="H35" s="6" t="s">
        <v>1010</v>
      </c>
      <c r="I35" s="6">
        <v>2</v>
      </c>
      <c r="J35" s="6">
        <f t="shared" ref="J35:J40" si="0">2^(I35)</f>
        <v>4</v>
      </c>
      <c r="K35" s="6">
        <f t="shared" ref="K35:K40" si="1">$J$32*J35</f>
        <v>40</v>
      </c>
      <c r="M35" s="6">
        <f t="shared" ref="M35:M40" si="2">4^(I35)</f>
        <v>16</v>
      </c>
      <c r="N35" s="6">
        <f t="shared" ref="N35:N40" si="3">$J$32*M35</f>
        <v>160</v>
      </c>
    </row>
    <row r="36" spans="1:14" x14ac:dyDescent="0.15">
      <c r="A36" s="8">
        <v>35</v>
      </c>
      <c r="B36" s="8">
        <v>35</v>
      </c>
      <c r="C36" s="47" t="s">
        <v>297</v>
      </c>
      <c r="D36" s="28" t="s">
        <v>298</v>
      </c>
      <c r="F36" s="8">
        <v>500</v>
      </c>
      <c r="G36" s="8">
        <v>16</v>
      </c>
      <c r="H36" s="6" t="s">
        <v>403</v>
      </c>
      <c r="I36" s="6">
        <v>3</v>
      </c>
      <c r="J36" s="6">
        <f t="shared" si="0"/>
        <v>8</v>
      </c>
      <c r="K36" s="6">
        <f t="shared" si="1"/>
        <v>80</v>
      </c>
      <c r="M36" s="6">
        <f t="shared" si="2"/>
        <v>64</v>
      </c>
      <c r="N36" s="6">
        <f t="shared" si="3"/>
        <v>640</v>
      </c>
    </row>
    <row r="37" spans="1:14" x14ac:dyDescent="0.15">
      <c r="A37" s="8">
        <v>36</v>
      </c>
      <c r="B37" s="8">
        <v>36</v>
      </c>
      <c r="C37" s="47" t="s">
        <v>275</v>
      </c>
      <c r="D37" s="28" t="s">
        <v>292</v>
      </c>
      <c r="F37" s="8">
        <v>500</v>
      </c>
      <c r="G37" s="8" t="s">
        <v>400</v>
      </c>
      <c r="H37" s="6" t="s">
        <v>281</v>
      </c>
      <c r="I37" s="6">
        <v>4</v>
      </c>
      <c r="J37" s="6">
        <f t="shared" si="0"/>
        <v>16</v>
      </c>
      <c r="K37" s="6">
        <f t="shared" si="1"/>
        <v>160</v>
      </c>
      <c r="M37" s="6">
        <f t="shared" si="2"/>
        <v>256</v>
      </c>
      <c r="N37" s="6">
        <f t="shared" si="3"/>
        <v>2560</v>
      </c>
    </row>
    <row r="38" spans="1:14" x14ac:dyDescent="0.15">
      <c r="A38" s="8">
        <v>37</v>
      </c>
      <c r="B38" s="8">
        <v>37</v>
      </c>
      <c r="C38" s="47" t="s">
        <v>269</v>
      </c>
      <c r="D38" s="28" t="s">
        <v>270</v>
      </c>
      <c r="F38" s="8">
        <v>500</v>
      </c>
      <c r="G38" s="8"/>
      <c r="H38" s="6" t="s">
        <v>401</v>
      </c>
      <c r="I38" s="6">
        <v>5</v>
      </c>
      <c r="J38" s="6">
        <f t="shared" si="0"/>
        <v>32</v>
      </c>
      <c r="K38" s="6">
        <f t="shared" si="1"/>
        <v>320</v>
      </c>
      <c r="M38" s="6">
        <f t="shared" si="2"/>
        <v>1024</v>
      </c>
      <c r="N38" s="6">
        <f t="shared" si="3"/>
        <v>10240</v>
      </c>
    </row>
    <row r="39" spans="1:14" x14ac:dyDescent="0.15">
      <c r="A39" s="8">
        <v>38</v>
      </c>
      <c r="B39" s="8">
        <v>38</v>
      </c>
      <c r="C39" s="47" t="s">
        <v>240</v>
      </c>
      <c r="D39" s="32" t="s">
        <v>231</v>
      </c>
      <c r="F39" s="8">
        <v>12000</v>
      </c>
      <c r="G39" s="8"/>
      <c r="H39" s="17" t="s">
        <v>256</v>
      </c>
      <c r="I39" s="6">
        <v>6</v>
      </c>
      <c r="J39" s="6">
        <f t="shared" si="0"/>
        <v>64</v>
      </c>
      <c r="K39" s="6">
        <f t="shared" si="1"/>
        <v>640</v>
      </c>
      <c r="M39" s="6">
        <f t="shared" si="2"/>
        <v>4096</v>
      </c>
      <c r="N39" s="6">
        <f t="shared" si="3"/>
        <v>40960</v>
      </c>
    </row>
    <row r="40" spans="1:14" x14ac:dyDescent="0.15">
      <c r="A40" s="8">
        <v>39</v>
      </c>
      <c r="B40" s="8">
        <v>39</v>
      </c>
      <c r="C40" s="47" t="s">
        <v>212</v>
      </c>
      <c r="D40" s="33" t="s">
        <v>166</v>
      </c>
      <c r="F40" s="8">
        <v>12000</v>
      </c>
      <c r="G40" s="8"/>
      <c r="H40" s="6" t="s">
        <v>213</v>
      </c>
      <c r="I40" s="6">
        <v>7</v>
      </c>
      <c r="J40" s="6">
        <f t="shared" si="0"/>
        <v>128</v>
      </c>
      <c r="K40" s="6">
        <f t="shared" si="1"/>
        <v>1280</v>
      </c>
      <c r="M40" s="6">
        <f t="shared" si="2"/>
        <v>16384</v>
      </c>
      <c r="N40" s="6">
        <f t="shared" si="3"/>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925</v>
      </c>
      <c r="E2" s="9" t="s">
        <v>172</v>
      </c>
    </row>
    <row r="3" spans="1:5" x14ac:dyDescent="0.15">
      <c r="A3" s="8">
        <v>2</v>
      </c>
      <c r="B3" s="8">
        <v>1</v>
      </c>
      <c r="C3" s="8">
        <v>100</v>
      </c>
      <c r="D3" s="8" t="s">
        <v>926</v>
      </c>
      <c r="E3" s="9" t="s">
        <v>911</v>
      </c>
    </row>
    <row r="4" spans="1:5" x14ac:dyDescent="0.15">
      <c r="A4" s="8">
        <v>3</v>
      </c>
      <c r="B4" s="8">
        <v>2</v>
      </c>
      <c r="C4" s="8">
        <v>300</v>
      </c>
      <c r="D4" s="8" t="s">
        <v>927</v>
      </c>
      <c r="E4" s="9" t="s">
        <v>912</v>
      </c>
    </row>
    <row r="5" spans="1:5" x14ac:dyDescent="0.15">
      <c r="A5" s="8">
        <v>4</v>
      </c>
      <c r="B5" s="8">
        <v>3</v>
      </c>
      <c r="C5" s="8">
        <v>800</v>
      </c>
      <c r="D5" s="8" t="s">
        <v>928</v>
      </c>
      <c r="E5" s="9" t="s">
        <v>910</v>
      </c>
    </row>
    <row r="6" spans="1:5" x14ac:dyDescent="0.15">
      <c r="A6" s="8">
        <v>5</v>
      </c>
      <c r="B6" s="8">
        <v>5</v>
      </c>
      <c r="C6" s="8">
        <v>30000</v>
      </c>
      <c r="D6" s="8" t="s">
        <v>929</v>
      </c>
      <c r="E6" s="9" t="s">
        <v>921</v>
      </c>
    </row>
    <row r="7" spans="1:5" x14ac:dyDescent="0.15">
      <c r="A7" s="8">
        <v>6</v>
      </c>
      <c r="B7" s="8">
        <v>1</v>
      </c>
      <c r="C7" s="8">
        <v>100</v>
      </c>
      <c r="D7" s="8" t="s">
        <v>930</v>
      </c>
      <c r="E7" s="9" t="s">
        <v>919</v>
      </c>
    </row>
    <row r="8" spans="1:5" x14ac:dyDescent="0.15">
      <c r="A8" s="8">
        <v>7</v>
      </c>
      <c r="B8" s="8">
        <v>2</v>
      </c>
      <c r="C8" s="8">
        <v>300</v>
      </c>
      <c r="D8" s="8" t="s">
        <v>931</v>
      </c>
      <c r="E8" s="9" t="s">
        <v>312</v>
      </c>
    </row>
    <row r="9" spans="1:5" x14ac:dyDescent="0.15">
      <c r="A9" s="8">
        <v>8</v>
      </c>
      <c r="B9" s="8">
        <v>3</v>
      </c>
      <c r="C9" s="8">
        <v>800</v>
      </c>
      <c r="D9" s="8" t="s">
        <v>932</v>
      </c>
      <c r="E9" s="9" t="s">
        <v>920</v>
      </c>
    </row>
    <row r="10" spans="1:5" x14ac:dyDescent="0.15">
      <c r="A10" s="8">
        <v>9</v>
      </c>
      <c r="B10" s="8">
        <v>4</v>
      </c>
      <c r="C10" s="8">
        <v>2000</v>
      </c>
      <c r="D10" s="8" t="s">
        <v>933</v>
      </c>
      <c r="E10" s="9" t="s">
        <v>313</v>
      </c>
    </row>
    <row r="11" spans="1:5" x14ac:dyDescent="0.15">
      <c r="A11" s="8">
        <v>10</v>
      </c>
      <c r="B11" s="8">
        <v>1</v>
      </c>
      <c r="C11" s="8">
        <v>100</v>
      </c>
      <c r="D11" s="8" t="s">
        <v>938</v>
      </c>
      <c r="E11" s="9" t="s">
        <v>924</v>
      </c>
    </row>
    <row r="12" spans="1:5" x14ac:dyDescent="0.15">
      <c r="A12" s="8">
        <v>11</v>
      </c>
      <c r="B12" s="8">
        <v>2</v>
      </c>
      <c r="C12" s="8">
        <v>300</v>
      </c>
      <c r="D12" s="8" t="s">
        <v>939</v>
      </c>
      <c r="E12" s="9" t="s">
        <v>922</v>
      </c>
    </row>
    <row r="13" spans="1:5" x14ac:dyDescent="0.15">
      <c r="A13" s="8">
        <v>12</v>
      </c>
      <c r="B13" s="8">
        <v>3</v>
      </c>
      <c r="C13" s="8">
        <v>800</v>
      </c>
      <c r="D13" s="8" t="s">
        <v>940</v>
      </c>
      <c r="E13" s="9" t="s">
        <v>923</v>
      </c>
    </row>
    <row r="14" spans="1:5" x14ac:dyDescent="0.15">
      <c r="A14" s="8">
        <v>13</v>
      </c>
      <c r="B14" s="8">
        <v>4</v>
      </c>
      <c r="C14" s="8">
        <v>2000</v>
      </c>
      <c r="D14" s="8" t="s">
        <v>941</v>
      </c>
      <c r="E14" s="9" t="s">
        <v>968</v>
      </c>
    </row>
    <row r="15" spans="1:5" x14ac:dyDescent="0.15">
      <c r="A15" s="8">
        <v>14</v>
      </c>
      <c r="B15" s="8">
        <v>1</v>
      </c>
      <c r="C15" s="8">
        <v>100</v>
      </c>
      <c r="D15" s="8" t="s">
        <v>934</v>
      </c>
      <c r="E15" s="9" t="s">
        <v>975</v>
      </c>
    </row>
    <row r="16" spans="1:5" x14ac:dyDescent="0.15">
      <c r="A16" s="8">
        <v>15</v>
      </c>
      <c r="B16" s="8">
        <v>2</v>
      </c>
      <c r="C16" s="8">
        <v>300</v>
      </c>
      <c r="D16" s="8" t="s">
        <v>935</v>
      </c>
      <c r="E16" s="9" t="s">
        <v>976</v>
      </c>
    </row>
    <row r="17" spans="1:5" x14ac:dyDescent="0.15">
      <c r="A17" s="8">
        <v>16</v>
      </c>
      <c r="B17" s="8">
        <v>3</v>
      </c>
      <c r="C17" s="8">
        <v>800</v>
      </c>
      <c r="D17" s="8" t="s">
        <v>936</v>
      </c>
      <c r="E17" s="9" t="s">
        <v>978</v>
      </c>
    </row>
    <row r="18" spans="1:5" x14ac:dyDescent="0.15">
      <c r="A18" s="8">
        <v>17</v>
      </c>
      <c r="B18" s="8">
        <v>4</v>
      </c>
      <c r="C18" s="8">
        <v>2000</v>
      </c>
      <c r="D18" s="8" t="s">
        <v>937</v>
      </c>
      <c r="E18" s="9" t="s">
        <v>977</v>
      </c>
    </row>
    <row r="19" spans="1:5" x14ac:dyDescent="0.15">
      <c r="A19" s="8">
        <v>18</v>
      </c>
      <c r="B19" s="8">
        <v>2</v>
      </c>
      <c r="C19" s="8">
        <v>300</v>
      </c>
      <c r="D19" s="8" t="s">
        <v>959</v>
      </c>
      <c r="E19" s="6" t="s">
        <v>969</v>
      </c>
    </row>
    <row r="20" spans="1:5" x14ac:dyDescent="0.15">
      <c r="A20" s="8">
        <v>19</v>
      </c>
      <c r="B20" s="8">
        <v>3</v>
      </c>
      <c r="C20" s="8">
        <v>800</v>
      </c>
      <c r="D20" s="8" t="s">
        <v>960</v>
      </c>
      <c r="E20" s="6" t="s">
        <v>970</v>
      </c>
    </row>
    <row r="21" spans="1:5" x14ac:dyDescent="0.15">
      <c r="A21" s="8">
        <v>20</v>
      </c>
      <c r="B21" s="8">
        <v>2</v>
      </c>
      <c r="C21" s="8">
        <v>300</v>
      </c>
      <c r="D21" s="8" t="s">
        <v>963</v>
      </c>
      <c r="E21" s="6" t="s">
        <v>971</v>
      </c>
    </row>
    <row r="22" spans="1:5" x14ac:dyDescent="0.15">
      <c r="A22" s="8">
        <v>21</v>
      </c>
      <c r="B22" s="8">
        <v>3</v>
      </c>
      <c r="C22" s="8">
        <v>800</v>
      </c>
      <c r="D22" s="8" t="s">
        <v>964</v>
      </c>
      <c r="E22" s="6" t="s">
        <v>972</v>
      </c>
    </row>
    <row r="23" spans="1:5" x14ac:dyDescent="0.15">
      <c r="A23" s="8">
        <v>22</v>
      </c>
      <c r="B23" s="8">
        <v>2</v>
      </c>
      <c r="C23" s="8">
        <v>300</v>
      </c>
      <c r="D23" s="8" t="s">
        <v>961</v>
      </c>
      <c r="E23" s="6" t="s">
        <v>973</v>
      </c>
    </row>
    <row r="24" spans="1:5" x14ac:dyDescent="0.15">
      <c r="A24" s="8">
        <v>23</v>
      </c>
      <c r="B24" s="8">
        <v>3</v>
      </c>
      <c r="C24" s="8">
        <v>800</v>
      </c>
      <c r="D24" s="8" t="s">
        <v>962</v>
      </c>
      <c r="E24" s="6" t="s">
        <v>974</v>
      </c>
    </row>
    <row r="25" spans="1:5" x14ac:dyDescent="0.15">
      <c r="A25" s="8">
        <v>24</v>
      </c>
      <c r="B25" s="8">
        <v>3</v>
      </c>
      <c r="C25" s="8">
        <v>800</v>
      </c>
      <c r="D25" s="8" t="s">
        <v>981</v>
      </c>
      <c r="E25" s="9" t="s">
        <v>979</v>
      </c>
    </row>
    <row r="26" spans="1:5" x14ac:dyDescent="0.15">
      <c r="A26" s="8">
        <v>25</v>
      </c>
      <c r="B26" s="8">
        <v>2</v>
      </c>
      <c r="C26" s="8">
        <v>300</v>
      </c>
      <c r="D26" s="8" t="s">
        <v>942</v>
      </c>
      <c r="E26" s="19" t="s">
        <v>315</v>
      </c>
    </row>
    <row r="27" spans="1:5" x14ac:dyDescent="0.15">
      <c r="A27" s="8">
        <v>26</v>
      </c>
      <c r="B27" s="8">
        <v>3</v>
      </c>
      <c r="C27" s="8">
        <v>800</v>
      </c>
      <c r="D27" s="8" t="s">
        <v>965</v>
      </c>
      <c r="E27" s="9" t="s">
        <v>980</v>
      </c>
    </row>
    <row r="28" spans="1:5" x14ac:dyDescent="0.15">
      <c r="A28" s="8">
        <v>27</v>
      </c>
      <c r="B28" s="8">
        <v>3</v>
      </c>
      <c r="C28" s="8">
        <v>800</v>
      </c>
      <c r="D28" s="8" t="s">
        <v>966</v>
      </c>
      <c r="E28" s="9" t="s">
        <v>943</v>
      </c>
    </row>
    <row r="29" spans="1:5" x14ac:dyDescent="0.15">
      <c r="A29" s="8">
        <v>28</v>
      </c>
      <c r="B29" s="8">
        <v>3</v>
      </c>
      <c r="C29" s="8">
        <v>800</v>
      </c>
      <c r="D29" s="8" t="s">
        <v>967</v>
      </c>
      <c r="E29" s="19" t="s">
        <v>319</v>
      </c>
    </row>
    <row r="30" spans="1:5" x14ac:dyDescent="0.15">
      <c r="A30" s="8">
        <v>29</v>
      </c>
      <c r="B30" s="8">
        <v>2</v>
      </c>
      <c r="C30" s="8">
        <v>300</v>
      </c>
      <c r="D30" s="8" t="s">
        <v>944</v>
      </c>
      <c r="E30" s="9" t="s">
        <v>314</v>
      </c>
    </row>
    <row r="31" spans="1:5" x14ac:dyDescent="0.15">
      <c r="A31" s="8">
        <v>30</v>
      </c>
      <c r="B31" s="8">
        <v>3</v>
      </c>
      <c r="C31" s="8">
        <v>800</v>
      </c>
      <c r="D31" s="8" t="s">
        <v>945</v>
      </c>
      <c r="E31" s="19" t="s">
        <v>320</v>
      </c>
    </row>
    <row r="32" spans="1:5" x14ac:dyDescent="0.15">
      <c r="A32" s="8">
        <v>31</v>
      </c>
      <c r="B32" s="8">
        <v>1</v>
      </c>
      <c r="C32" s="8">
        <v>100</v>
      </c>
      <c r="D32" s="8" t="s">
        <v>982</v>
      </c>
      <c r="E32" s="9" t="s">
        <v>321</v>
      </c>
    </row>
    <row r="33" spans="1:5" x14ac:dyDescent="0.15">
      <c r="A33" s="8">
        <v>32</v>
      </c>
      <c r="B33" s="8">
        <v>2</v>
      </c>
      <c r="C33" s="8">
        <v>300</v>
      </c>
      <c r="D33" s="8" t="s">
        <v>983</v>
      </c>
      <c r="E33" s="9" t="s">
        <v>325</v>
      </c>
    </row>
    <row r="34" spans="1:5" x14ac:dyDescent="0.15">
      <c r="A34" s="8">
        <v>33</v>
      </c>
      <c r="B34" s="8">
        <v>3</v>
      </c>
      <c r="C34" s="8">
        <v>800</v>
      </c>
      <c r="D34" s="8" t="s">
        <v>984</v>
      </c>
      <c r="E34" s="9" t="s">
        <v>986</v>
      </c>
    </row>
    <row r="35" spans="1:5" x14ac:dyDescent="0.15">
      <c r="A35" s="8">
        <v>34</v>
      </c>
      <c r="B35" s="8">
        <v>4</v>
      </c>
      <c r="C35" s="8">
        <v>2000</v>
      </c>
      <c r="D35" s="8" t="s">
        <v>985</v>
      </c>
      <c r="E35" s="9" t="s">
        <v>987</v>
      </c>
    </row>
    <row r="36" spans="1:5" x14ac:dyDescent="0.15">
      <c r="A36" s="8">
        <v>35</v>
      </c>
      <c r="B36" s="8">
        <v>2</v>
      </c>
      <c r="C36" s="8">
        <v>300</v>
      </c>
      <c r="D36" s="8" t="s">
        <v>946</v>
      </c>
      <c r="E36" s="9" t="s">
        <v>994</v>
      </c>
    </row>
    <row r="37" spans="1:5" x14ac:dyDescent="0.15">
      <c r="A37" s="8">
        <v>36</v>
      </c>
      <c r="B37" s="8">
        <v>3</v>
      </c>
      <c r="C37" s="8">
        <v>800</v>
      </c>
      <c r="D37" s="8" t="s">
        <v>947</v>
      </c>
      <c r="E37" s="9" t="s">
        <v>995</v>
      </c>
    </row>
    <row r="38" spans="1:5" x14ac:dyDescent="0.15">
      <c r="A38" s="8">
        <v>37</v>
      </c>
      <c r="B38" s="8">
        <v>4</v>
      </c>
      <c r="C38" s="8">
        <v>2000</v>
      </c>
      <c r="D38" s="8" t="s">
        <v>948</v>
      </c>
      <c r="E38" s="19" t="s">
        <v>322</v>
      </c>
    </row>
    <row r="39" spans="1:5" x14ac:dyDescent="0.15">
      <c r="A39" s="8">
        <v>38</v>
      </c>
      <c r="B39" s="8">
        <v>2</v>
      </c>
      <c r="C39" s="8">
        <v>300</v>
      </c>
      <c r="D39" s="8" t="s">
        <v>949</v>
      </c>
      <c r="E39" s="9" t="s">
        <v>996</v>
      </c>
    </row>
    <row r="40" spans="1:5" x14ac:dyDescent="0.15">
      <c r="A40" s="8">
        <v>39</v>
      </c>
      <c r="B40" s="8">
        <v>3</v>
      </c>
      <c r="C40" s="8">
        <v>800</v>
      </c>
      <c r="D40" s="8" t="s">
        <v>950</v>
      </c>
      <c r="E40" s="9" t="s">
        <v>996</v>
      </c>
    </row>
    <row r="41" spans="1:5" x14ac:dyDescent="0.15">
      <c r="A41" s="8">
        <v>40</v>
      </c>
      <c r="B41" s="8">
        <v>4</v>
      </c>
      <c r="C41" s="8">
        <v>2000</v>
      </c>
      <c r="D41" s="8" t="s">
        <v>951</v>
      </c>
      <c r="E41" s="19" t="s">
        <v>323</v>
      </c>
    </row>
    <row r="42" spans="1:5" x14ac:dyDescent="0.15">
      <c r="A42" s="8">
        <v>41</v>
      </c>
      <c r="B42" s="8">
        <v>2</v>
      </c>
      <c r="C42" s="8">
        <v>300</v>
      </c>
      <c r="D42" s="8" t="s">
        <v>956</v>
      </c>
      <c r="E42" s="6" t="s">
        <v>988</v>
      </c>
    </row>
    <row r="43" spans="1:5" x14ac:dyDescent="0.15">
      <c r="A43" s="8">
        <v>42</v>
      </c>
      <c r="B43" s="8">
        <v>3</v>
      </c>
      <c r="C43" s="8">
        <v>800</v>
      </c>
      <c r="D43" s="8" t="s">
        <v>957</v>
      </c>
      <c r="E43" s="6" t="s">
        <v>324</v>
      </c>
    </row>
    <row r="44" spans="1:5" x14ac:dyDescent="0.15">
      <c r="A44" s="8">
        <v>43</v>
      </c>
      <c r="B44" s="8">
        <v>4</v>
      </c>
      <c r="C44" s="8">
        <v>2000</v>
      </c>
      <c r="D44" s="8" t="s">
        <v>958</v>
      </c>
      <c r="E44" s="6" t="s">
        <v>989</v>
      </c>
    </row>
    <row r="45" spans="1:5" x14ac:dyDescent="0.15">
      <c r="A45" s="8">
        <v>44</v>
      </c>
      <c r="B45" s="8">
        <v>2</v>
      </c>
      <c r="C45" s="8">
        <v>300</v>
      </c>
      <c r="D45" s="8" t="s">
        <v>990</v>
      </c>
      <c r="E45" s="6" t="s">
        <v>316</v>
      </c>
    </row>
    <row r="46" spans="1:5" x14ac:dyDescent="0.15">
      <c r="A46" s="8">
        <v>45</v>
      </c>
      <c r="B46" s="8">
        <v>3</v>
      </c>
      <c r="C46" s="8">
        <v>800</v>
      </c>
      <c r="D46" s="8" t="s">
        <v>991</v>
      </c>
      <c r="E46" s="6" t="s">
        <v>318</v>
      </c>
    </row>
    <row r="47" spans="1:5" x14ac:dyDescent="0.15">
      <c r="A47" s="8">
        <v>46</v>
      </c>
      <c r="B47" s="8">
        <v>4</v>
      </c>
      <c r="C47" s="8">
        <v>2000</v>
      </c>
      <c r="D47" s="8" t="s">
        <v>992</v>
      </c>
      <c r="E47" s="6" t="s">
        <v>317</v>
      </c>
    </row>
    <row r="48" spans="1:5" x14ac:dyDescent="0.15">
      <c r="A48" s="8">
        <v>47</v>
      </c>
      <c r="B48" s="8">
        <v>1</v>
      </c>
      <c r="C48" s="8">
        <v>100</v>
      </c>
      <c r="D48" s="8" t="s">
        <v>952</v>
      </c>
      <c r="E48" s="9" t="s">
        <v>915</v>
      </c>
    </row>
    <row r="49" spans="1:5" x14ac:dyDescent="0.15">
      <c r="A49" s="8">
        <v>48</v>
      </c>
      <c r="B49" s="8">
        <v>2</v>
      </c>
      <c r="C49" s="8">
        <v>300</v>
      </c>
      <c r="D49" s="8" t="s">
        <v>953</v>
      </c>
      <c r="E49" s="9" t="s">
        <v>913</v>
      </c>
    </row>
    <row r="50" spans="1:5" x14ac:dyDescent="0.15">
      <c r="A50" s="8">
        <v>49</v>
      </c>
      <c r="B50" s="8">
        <v>3</v>
      </c>
      <c r="C50" s="8">
        <v>800</v>
      </c>
      <c r="D50" s="8" t="s">
        <v>954</v>
      </c>
      <c r="E50" s="9" t="s">
        <v>916</v>
      </c>
    </row>
    <row r="51" spans="1:5" x14ac:dyDescent="0.15">
      <c r="A51" s="8">
        <v>50</v>
      </c>
      <c r="B51" s="8">
        <v>5</v>
      </c>
      <c r="C51" s="8">
        <v>30000</v>
      </c>
      <c r="D51" s="8" t="s">
        <v>955</v>
      </c>
      <c r="E51" s="9" t="s">
        <v>914</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opLeftCell="A34" zoomScale="130" zoomScaleNormal="130" workbookViewId="0">
      <selection activeCell="H36" sqref="H3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998</v>
      </c>
    </row>
    <row r="30" spans="1:3" ht="90.95" customHeight="1" x14ac:dyDescent="0.15">
      <c r="B30" s="22" t="s">
        <v>997</v>
      </c>
    </row>
    <row r="31" spans="1:3" ht="90.95" customHeight="1" x14ac:dyDescent="0.15">
      <c r="B31" s="22" t="s">
        <v>999</v>
      </c>
    </row>
    <row r="32" spans="1:3" ht="90.95" customHeight="1" x14ac:dyDescent="0.15">
      <c r="B32" s="22" t="s">
        <v>1000</v>
      </c>
    </row>
    <row r="33" spans="2:3" ht="90.95" customHeight="1" x14ac:dyDescent="0.15">
      <c r="B33" s="2" t="s">
        <v>1001</v>
      </c>
    </row>
    <row r="34" spans="2:3" ht="90.95" customHeight="1" x14ac:dyDescent="0.15">
      <c r="B34" s="22" t="s">
        <v>1002</v>
      </c>
    </row>
    <row r="35" spans="2:3" ht="90.95" customHeight="1" x14ac:dyDescent="0.15">
      <c r="B35" s="22" t="s">
        <v>1003</v>
      </c>
    </row>
    <row r="36" spans="2:3" ht="90.95" customHeight="1" x14ac:dyDescent="0.15">
      <c r="B36" s="22" t="s">
        <v>1007</v>
      </c>
      <c r="C36" s="3" t="s">
        <v>1008</v>
      </c>
    </row>
    <row r="37" spans="2:3" ht="90.95" customHeight="1" x14ac:dyDescent="0.15">
      <c r="B37" s="2" t="s">
        <v>1009</v>
      </c>
    </row>
    <row r="38" spans="2:3" ht="90.95" customHeight="1" x14ac:dyDescent="0.15">
      <c r="B38" s="22" t="s">
        <v>1014</v>
      </c>
    </row>
    <row r="39" spans="2:3" ht="90.95" customHeight="1" x14ac:dyDescent="0.15">
      <c r="B39" s="2" t="s">
        <v>1015</v>
      </c>
    </row>
    <row r="40" spans="2:3" ht="90.95" customHeight="1" x14ac:dyDescent="0.15">
      <c r="B40" s="22" t="s">
        <v>1016</v>
      </c>
    </row>
    <row r="41" spans="2:3" ht="90.95" customHeight="1" x14ac:dyDescent="0.15">
      <c r="B41" s="22" t="s">
        <v>1017</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2026-01-22T17:13:39Z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