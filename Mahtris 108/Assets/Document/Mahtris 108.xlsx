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Dabbido\Desktop\Game Dev\GitHub\Mahtris-108\Mahtris 108\Assets\Document\"/>
    </mc:Choice>
  </mc:AlternateContent>
  <xr:revisionPtr revIDLastSave="0" documentId="13_ncr:1_{48A0D39B-2CC9-46BD-BD84-289686827BFE}" xr6:coauthVersionLast="47" xr6:coauthVersionMax="47" xr10:uidLastSave="{00000000-0000-0000-0000-000000000000}"/>
  <bookViews>
    <workbookView xWindow="-120" yWindow="-120" windowWidth="38640" windowHeight="21240" activeTab="5" xr2:uid="{00000000-000D-0000-FFFF-FFFF00000000}"/>
  </bookViews>
  <sheets>
    <sheet name="常规" sheetId="4" r:id="rId1"/>
    <sheet name="方块" sheetId="5" r:id="rId2"/>
    <sheet name="道具" sheetId="2" r:id="rId3"/>
    <sheet name="条约" sheetId="3" r:id="rId4"/>
    <sheet name="成就" sheetId="6" r:id="rId5"/>
    <sheet name="开发" sheetId="7" r:id="rId6"/>
    <sheet name="多语言"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 i="4" l="1"/>
  <c r="B51" i="4"/>
  <c r="H44" i="4"/>
  <c r="H45" i="4"/>
  <c r="H46" i="4"/>
  <c r="H47" i="4"/>
  <c r="H48" i="4"/>
  <c r="H49" i="4"/>
  <c r="H43" i="4"/>
  <c r="G44" i="4"/>
  <c r="G45" i="4"/>
  <c r="G46" i="4"/>
  <c r="G47" i="4"/>
  <c r="G48" i="4"/>
  <c r="G49" i="4"/>
  <c r="G50" i="4"/>
  <c r="G43" i="4"/>
  <c r="F50" i="4"/>
  <c r="F44" i="4"/>
  <c r="F45" i="4"/>
  <c r="F46" i="4"/>
  <c r="F47" i="4"/>
  <c r="F48" i="4"/>
  <c r="F49" i="4"/>
  <c r="F43" i="4"/>
  <c r="E44" i="4"/>
  <c r="E45" i="4"/>
  <c r="E46" i="4"/>
  <c r="E47" i="4"/>
  <c r="E48" i="4"/>
  <c r="E49" i="4"/>
  <c r="E50" i="4"/>
  <c r="E43" i="4"/>
  <c r="C17" i="4"/>
  <c r="C15" i="4"/>
  <c r="E35" i="4"/>
  <c r="N33" i="4"/>
  <c r="N32" i="4"/>
  <c r="E32" i="4"/>
  <c r="N31" i="4"/>
  <c r="E31" i="4"/>
  <c r="N30" i="4"/>
  <c r="E30" i="4"/>
  <c r="N29" i="4"/>
  <c r="N28" i="4"/>
  <c r="N27" i="4"/>
  <c r="N26" i="4"/>
  <c r="C20" i="4"/>
  <c r="C19" i="4"/>
  <c r="C18" i="4"/>
  <c r="C14" i="4"/>
  <c r="C13" i="4"/>
  <c r="C12" i="4"/>
  <c r="G51" i="4" l="1"/>
  <c r="H51" i="4"/>
</calcChain>
</file>

<file path=xl/sharedStrings.xml><?xml version="1.0" encoding="utf-8"?>
<sst xmlns="http://schemas.openxmlformats.org/spreadsheetml/2006/main" count="979" uniqueCount="844">
  <si>
    <t>规范术语</t>
  </si>
  <si>
    <t>1、一局游戏：开始游戏到游戏失败（倒计时为0，方块触碰边界线，牌库剩余方块为0）</t>
  </si>
  <si>
    <t>Whole Game</t>
  </si>
  <si>
    <t>2、一轮游戏：游戏开始到下一次胡牌，或胡牌清空桌面后到下一次胡牌</t>
  </si>
  <si>
    <t>Round</t>
  </si>
  <si>
    <t>3、一次胡牌：胡牌区凑成可以胡牌的牌型</t>
  </si>
  <si>
    <t>Hu</t>
  </si>
  <si>
    <t>4、一圈胡牌：完成4次胡牌为一圈</t>
  </si>
  <si>
    <t>Four Hu Streak</t>
  </si>
  <si>
    <t>5、基础分：胡牌得分基础分，初始为10</t>
  </si>
  <si>
    <t>Baisc Score</t>
  </si>
  <si>
    <t>6、番数倍率：根据胡牌牌型确定的倍率，为2的番数次方</t>
  </si>
  <si>
    <t>Fan Multiplier</t>
  </si>
  <si>
    <t>Fan Mult.</t>
  </si>
  <si>
    <t>7、方块倍率：所有方块的倍率之和，会被道具或协议影响</t>
  </si>
  <si>
    <t>Polyomino Multiplier</t>
  </si>
  <si>
    <t>Poly. Mult.</t>
  </si>
  <si>
    <t>8、额外倍率：来自道具或协议效果的倍率，初始为1</t>
  </si>
  <si>
    <t>Extra Multiplier</t>
  </si>
  <si>
    <t>Ex Mult.</t>
  </si>
  <si>
    <t>牌型</t>
  </si>
  <si>
    <t>番数</t>
  </si>
  <si>
    <t>倍率</t>
  </si>
  <si>
    <t>备注</t>
  </si>
  <si>
    <t>All Sequences</t>
  </si>
  <si>
    <t>All Triplets</t>
  </si>
  <si>
    <t>清一色</t>
  </si>
  <si>
    <t>Full Flush All Triplets</t>
  </si>
  <si>
    <t>All Terminals</t>
  </si>
  <si>
    <t>Nine Gates</t>
  </si>
  <si>
    <t>地胡</t>
  </si>
  <si>
    <t>胡牌区无牌时，一次连续消行即胡牌</t>
  </si>
  <si>
    <t>Earthly Hand</t>
  </si>
  <si>
    <t>天胡</t>
  </si>
  <si>
    <t>胡牌区无牌时，第一次连续消行即胡牌</t>
  </si>
  <si>
    <t>Heavenly Hand</t>
  </si>
  <si>
    <t>基础分</t>
  </si>
  <si>
    <t>额外</t>
  </si>
  <si>
    <t>得分</t>
  </si>
  <si>
    <t>番数倍率</t>
  </si>
  <si>
    <t>方块倍率</t>
  </si>
  <si>
    <t>额外倍率</t>
  </si>
  <si>
    <t>难度</t>
  </si>
  <si>
    <t>分数</t>
  </si>
  <si>
    <t>奖励</t>
  </si>
  <si>
    <t>初始速度</t>
  </si>
  <si>
    <t>初始条约</t>
  </si>
  <si>
    <t>方块</t>
  </si>
  <si>
    <t>新手</t>
  </si>
  <si>
    <t>x1</t>
  </si>
  <si>
    <t>All Level-1</t>
  </si>
  <si>
    <t>高手</t>
  </si>
  <si>
    <t>x2</t>
  </si>
  <si>
    <t>All Level-2</t>
  </si>
  <si>
    <t>大师</t>
  </si>
  <si>
    <t>x4</t>
  </si>
  <si>
    <t>All Level-2 + Random 2 Level-3</t>
  </si>
  <si>
    <t>目标得分</t>
  </si>
  <si>
    <t>金币奖励</t>
  </si>
  <si>
    <t>消行得分</t>
  </si>
  <si>
    <t>No</t>
  </si>
  <si>
    <t>名称</t>
  </si>
  <si>
    <t>等级</t>
  </si>
  <si>
    <t>T1-Dot</t>
  </si>
  <si>
    <t>P1-Dot</t>
  </si>
  <si>
    <t>T2-I</t>
  </si>
  <si>
    <t>P2-I Shape</t>
  </si>
  <si>
    <t>T3-I</t>
  </si>
  <si>
    <t>T3-J</t>
  </si>
  <si>
    <t>T3-L</t>
  </si>
  <si>
    <t>T4-1</t>
  </si>
  <si>
    <t>T4-J</t>
  </si>
  <si>
    <t>T4-L</t>
  </si>
  <si>
    <t>T4-O</t>
  </si>
  <si>
    <t>T4-S</t>
  </si>
  <si>
    <t>T4-T</t>
  </si>
  <si>
    <t>T4-Z</t>
  </si>
  <si>
    <t>T5-B</t>
  </si>
  <si>
    <t>T5-Pit</t>
  </si>
  <si>
    <t>T5-D</t>
  </si>
  <si>
    <t>T5-Ex-1</t>
  </si>
  <si>
    <t>T5-Ex-2</t>
  </si>
  <si>
    <t>T5-I</t>
  </si>
  <si>
    <t>T5-J-1</t>
  </si>
  <si>
    <t>T5-J-2</t>
  </si>
  <si>
    <t>T5-L-1</t>
  </si>
  <si>
    <t>T5-L-2</t>
  </si>
  <si>
    <t>T5-S</t>
  </si>
  <si>
    <t>T5-T</t>
  </si>
  <si>
    <t>T5-W-1</t>
  </si>
  <si>
    <t>T5-W-2</t>
  </si>
  <si>
    <t>T5-X</t>
  </si>
  <si>
    <t>T5-Y-1</t>
  </si>
  <si>
    <t>T5-Y-2</t>
  </si>
  <si>
    <t>T5-Z</t>
  </si>
  <si>
    <t>T-Gaint</t>
  </si>
  <si>
    <t>Sp</t>
  </si>
  <si>
    <t>条约效果中使用</t>
  </si>
  <si>
    <t>名称CH</t>
  </si>
  <si>
    <t>名称EN</t>
  </si>
  <si>
    <t>售价</t>
  </si>
  <si>
    <t>果汁</t>
  </si>
  <si>
    <t>Juice</t>
  </si>
  <si>
    <t>功能饮料</t>
  </si>
  <si>
    <t>Energy Drink</t>
  </si>
  <si>
    <t>类固醇</t>
  </si>
  <si>
    <t>Steroid</t>
  </si>
  <si>
    <t>气球</t>
  </si>
  <si>
    <t>Balloon</t>
  </si>
  <si>
    <t>降落伞</t>
  </si>
  <si>
    <t>Parachute</t>
  </si>
  <si>
    <t>喷气背包</t>
  </si>
  <si>
    <t>Jet Pack</t>
  </si>
  <si>
    <t>炸弹</t>
  </si>
  <si>
    <t>Bomb</t>
  </si>
  <si>
    <t>强行消除底下2行方块</t>
  </si>
  <si>
    <t>镜子</t>
  </si>
  <si>
    <t>Mirror</t>
  </si>
  <si>
    <t>下一个方块形状会连续出现3次</t>
  </si>
  <si>
    <t>沙漏</t>
  </si>
  <si>
    <t>Hourglass</t>
  </si>
  <si>
    <t>停表</t>
  </si>
  <si>
    <t>Stopwatch</t>
  </si>
  <si>
    <t>微波炉</t>
  </si>
  <si>
    <t>Microwave Oven</t>
  </si>
  <si>
    <t>橡皮擦</t>
  </si>
  <si>
    <t>Eraser</t>
  </si>
  <si>
    <t>代金券</t>
  </si>
  <si>
    <t>Voucher</t>
  </si>
  <si>
    <t>Magnet</t>
  </si>
  <si>
    <t>Trash Bin</t>
  </si>
  <si>
    <t>方尖塔</t>
  </si>
  <si>
    <t>Obelisk</t>
  </si>
  <si>
    <t>试用小样</t>
  </si>
  <si>
    <t>Sample</t>
  </si>
  <si>
    <t>快进按钮</t>
  </si>
  <si>
    <t>Skip Button</t>
  </si>
  <si>
    <t>仙酒</t>
  </si>
  <si>
    <t>Elixir Wine</t>
  </si>
  <si>
    <t>优惠券</t>
  </si>
  <si>
    <t>Coupon</t>
  </si>
  <si>
    <t>超级炸弹</t>
  </si>
  <si>
    <t>Super Bomb</t>
  </si>
  <si>
    <t>黄金镜</t>
  </si>
  <si>
    <t>Gold Mirror</t>
  </si>
  <si>
    <t>Kids Meal</t>
  </si>
  <si>
    <t>圣诞礼物</t>
  </si>
  <si>
    <t>Xmas Gift</t>
  </si>
  <si>
    <t>Revive Stone</t>
  </si>
  <si>
    <t>大垃圾桶</t>
  </si>
  <si>
    <t>Big Trash Bin</t>
  </si>
  <si>
    <t>点金手</t>
  </si>
  <si>
    <t>Hand of Midas</t>
  </si>
  <si>
    <t>计分板</t>
  </si>
  <si>
    <t>Scoreboard</t>
  </si>
  <si>
    <t>神之救济</t>
  </si>
  <si>
    <t>God's Salvation</t>
  </si>
  <si>
    <t>名称 CH</t>
  </si>
  <si>
    <t>名称 EN</t>
  </si>
  <si>
    <t>速度之星</t>
  </si>
  <si>
    <t>Speed Star</t>
  </si>
  <si>
    <t>断幺九</t>
  </si>
  <si>
    <t>1/9 Remover</t>
  </si>
  <si>
    <t>缺一门</t>
  </si>
  <si>
    <t>Suit Remover</t>
  </si>
  <si>
    <t>Delay of Gratification</t>
  </si>
  <si>
    <t>Dr. Mahjong</t>
  </si>
  <si>
    <t>老派玩家</t>
  </si>
  <si>
    <t>狂战士</t>
  </si>
  <si>
    <t>混淆视听</t>
  </si>
  <si>
    <t>Blurred Vision</t>
  </si>
  <si>
    <t>超算力</t>
  </si>
  <si>
    <t>Hyper Hashrate</t>
  </si>
  <si>
    <t>Attack on Giant</t>
  </si>
  <si>
    <t>深邃黑暗幻想</t>
  </si>
  <si>
    <t>Deep Dark Fantasy</t>
  </si>
  <si>
    <t>时间就是金钱</t>
  </si>
  <si>
    <t>Time is Money</t>
  </si>
  <si>
    <t>台风天气</t>
  </si>
  <si>
    <t>Typhoon</t>
  </si>
  <si>
    <t>Cheap Warehouse</t>
  </si>
  <si>
    <t>流星雨</t>
  </si>
  <si>
    <t>Meteor Shower</t>
  </si>
  <si>
    <t>Advent Food</t>
  </si>
  <si>
    <t>无重力</t>
  </si>
  <si>
    <t>No Gravity</t>
  </si>
  <si>
    <t>戏法空间</t>
  </si>
  <si>
    <t>Trick Room</t>
  </si>
  <si>
    <t>SSSVIP</t>
  </si>
  <si>
    <t>奥义很爽</t>
  </si>
  <si>
    <t>Ultimate Impact</t>
  </si>
  <si>
    <t>三位一体</t>
  </si>
  <si>
    <t>成就标题</t>
  </si>
  <si>
    <t>成就</t>
  </si>
  <si>
    <t>完成一次胡牌</t>
  </si>
  <si>
    <t>Title</t>
  </si>
  <si>
    <t>Des</t>
  </si>
  <si>
    <t>道具使用音效</t>
  </si>
  <si>
    <t>每次使用道具时会播放音效，大部分道具音效为通用音效，个别道具可以配置特定的音效；
当道具不满足使用条件时点击需要播放错误音效；</t>
  </si>
  <si>
    <t>胡牌牌型预览</t>
  </si>
  <si>
    <t>在游戏场景有特定的按钮，点击会打开牌型预览窗口，窗口中不需要任何逻辑，仅有打开和关闭弹窗功能即可；
暂停状态中也可以打开或关闭窗口；
弹窗打开时有DOTween Move的效果；</t>
  </si>
  <si>
    <t>麻将牌库列表</t>
  </si>
  <si>
    <t>在游戏场景有特定的按钮，点击会打开麻将牌库列表，列表中显示当前还没有掉落的麻将牌；
麻将牌会根据花色分成3行，数字从小到大排列；
暂停状态中也可以打开或关闭窗口；
弹窗打开时有DOTween Move的效果；</t>
  </si>
  <si>
    <t>商店</t>
  </si>
  <si>
    <t>待定</t>
  </si>
  <si>
    <t>消行特效</t>
  </si>
  <si>
    <t>当要进行消行时会先等待0.6秒再消除，期间麻将牌会进行闪烁效果；
同时消除多行所有的行都会有这样的效果；
如果消除行中存在可以凑成顺字牌、刻字牌、或杠牌时，这些麻将牌上会播放指定的粒子特效；</t>
  </si>
  <si>
    <t>胡牌特效</t>
  </si>
  <si>
    <t>当达成胡牌条件时，不会立刻弹出胡牌弹窗，而是先将最后的牌加入胡牌区，同时在指定位置播放粒子特效和音效，2秒之后再弹出胡牌弹窗；
等待期间游戏也处于暂停状态；</t>
  </si>
  <si>
    <t>倒计时变色</t>
  </si>
  <si>
    <t>当每局游戏的剩余时间小于等于30秒，倒计时文本会变成红色且开始闪烁；</t>
  </si>
  <si>
    <t>胡牌窗口拆分</t>
  </si>
  <si>
    <t>胡牌窗口拆分成2个，一个窗口上显示胡牌的牌型和得分情况，另一个窗口上显示奖励；
实际表现为先弹出牌型得分窗口，点击窗口上的“继续”按钮则弹出奖励窗口，玩家可以在该窗口上选择奖励，奖励窗口上也有一个继续按钮，点击即开始下一轮游戏；</t>
  </si>
  <si>
    <t>优化道具、条约信息浮窗</t>
  </si>
  <si>
    <t>道具、条约的信息浮窗上添加道具和条约的图标；
鼠标移动到方块奖励时不需要弹出信息浮窗，仅道具和条约即可；
信息浮窗的位置会在目标对象的固定位置显示，如正上方，不会跟着鼠标位置移动；</t>
  </si>
  <si>
    <t>暂停文本</t>
  </si>
  <si>
    <t>暂停面板改为暂停文本提示，提示需要循环改变透明度以达成缓慢闪烁的效果；</t>
  </si>
  <si>
    <t>胡牌区杠牌位置</t>
  </si>
  <si>
    <t>调整杠牌在胡牌区的摆放位置</t>
  </si>
  <si>
    <t>分数文本表现</t>
  </si>
  <si>
    <t>得分增加时以数字滚动的形式表现</t>
  </si>
  <si>
    <t>难度选择</t>
  </si>
  <si>
    <t>普通和困难难度在游戏初始状态会随机给与1/2个条约；
游戏开始时只能选择简单模式，普通和困难模式不可选择，通关简单模式后可以选择普通模式，通关普通模式后可以选择困难模式；
选择游戏难度后的状态要记录，下次开启游戏时依然保留之前的模式；</t>
  </si>
  <si>
    <t>多语言功能</t>
  </si>
  <si>
    <t>增加多语言切换功能</t>
  </si>
  <si>
    <t>音效控制</t>
  </si>
  <si>
    <t>增加音效控制功能</t>
  </si>
  <si>
    <t>儿童餐</t>
    <phoneticPr fontId="5" type="noConversion"/>
  </si>
  <si>
    <t>复活石</t>
    <phoneticPr fontId="5" type="noConversion"/>
  </si>
  <si>
    <t>攻击的巨人</t>
    <phoneticPr fontId="6" type="noConversion"/>
  </si>
  <si>
    <t>便宜仓库</t>
    <phoneticPr fontId="6" type="noConversion"/>
  </si>
  <si>
    <t>临期食品</t>
    <phoneticPr fontId="6" type="noConversion"/>
  </si>
  <si>
    <t>朝九晚五</t>
    <phoneticPr fontId="6" type="noConversion"/>
  </si>
  <si>
    <t>沼泽地</t>
    <phoneticPr fontId="6" type="noConversion"/>
  </si>
  <si>
    <t>超超超贵宾</t>
    <phoneticPr fontId="6" type="noConversion"/>
  </si>
  <si>
    <t>胡牌时每种奖励可以选择2个</t>
    <phoneticPr fontId="6" type="noConversion"/>
  </si>
  <si>
    <t>不稳定电流</t>
    <phoneticPr fontId="6" type="noConversion"/>
  </si>
  <si>
    <t>新能源</t>
    <phoneticPr fontId="6" type="noConversion"/>
  </si>
  <si>
    <t>人人平等</t>
    <phoneticPr fontId="6" type="noConversion"/>
  </si>
  <si>
    <t>强者世界</t>
    <phoneticPr fontId="6" type="noConversion"/>
  </si>
  <si>
    <t>圈数参数暴露</t>
    <phoneticPr fontId="6" type="noConversion"/>
  </si>
  <si>
    <t>可以在setting面板自由调整凑成一圈所需的轮数</t>
    <phoneticPr fontId="6" type="noConversion"/>
  </si>
  <si>
    <t>Berserker</t>
    <phoneticPr fontId="6" type="noConversion"/>
  </si>
  <si>
    <t>Routine Work</t>
    <phoneticPr fontId="6" type="noConversion"/>
  </si>
  <si>
    <t>Bullet Time</t>
    <phoneticPr fontId="6" type="noConversion"/>
  </si>
  <si>
    <t>Swamp</t>
    <phoneticPr fontId="6" type="noConversion"/>
  </si>
  <si>
    <t>Log Bridge</t>
    <phoneticPr fontId="6" type="noConversion"/>
  </si>
  <si>
    <t>Unstable Current</t>
    <phoneticPr fontId="6" type="noConversion"/>
  </si>
  <si>
    <t>Renewable Energy</t>
    <phoneticPr fontId="6" type="noConversion"/>
  </si>
  <si>
    <t>All Men are Equal</t>
    <phoneticPr fontId="6" type="noConversion"/>
  </si>
  <si>
    <t>大革命</t>
    <phoneticPr fontId="6" type="noConversion"/>
  </si>
  <si>
    <t>Great Revolution</t>
    <phoneticPr fontId="6" type="noConversion"/>
  </si>
  <si>
    <t>Trinity</t>
    <phoneticPr fontId="6" type="noConversion"/>
  </si>
  <si>
    <t>Realpolitik</t>
    <phoneticPr fontId="6" type="noConversion"/>
  </si>
  <si>
    <t>Strong World</t>
    <phoneticPr fontId="6" type="noConversion"/>
  </si>
  <si>
    <t>Karate Master</t>
    <phoneticPr fontId="6" type="noConversion"/>
  </si>
  <si>
    <t>磁铁</t>
    <phoneticPr fontId="5" type="noConversion"/>
  </si>
  <si>
    <t>Wanted Poster</t>
    <phoneticPr fontId="5" type="noConversion"/>
  </si>
  <si>
    <t>悬赏令</t>
    <phoneticPr fontId="5" type="noConversion"/>
  </si>
  <si>
    <t>延迟满足</t>
    <phoneticPr fontId="6" type="noConversion"/>
  </si>
  <si>
    <t>独木桥</t>
    <phoneticPr fontId="6" type="noConversion"/>
  </si>
  <si>
    <t>子弹时间</t>
    <phoneticPr fontId="6" type="noConversion"/>
  </si>
  <si>
    <t>合纵连横</t>
    <phoneticPr fontId="6" type="noConversion"/>
  </si>
  <si>
    <t>麻将博士</t>
    <phoneticPr fontId="6" type="noConversion"/>
  </si>
  <si>
    <t>幸运瓶盖</t>
    <phoneticPr fontId="5" type="noConversion"/>
  </si>
  <si>
    <t>Lucky Cap</t>
    <phoneticPr fontId="5" type="noConversion"/>
  </si>
  <si>
    <t>漏斗</t>
    <phoneticPr fontId="5" type="noConversion"/>
  </si>
  <si>
    <t>Filter</t>
    <phoneticPr fontId="5" type="noConversion"/>
  </si>
  <si>
    <t>删除条约</t>
    <phoneticPr fontId="6" type="noConversion"/>
  </si>
  <si>
    <t>长按条约2秒可移除条约，确定后会在下次胡牌时删除</t>
    <phoneticPr fontId="6" type="noConversion"/>
  </si>
  <si>
    <t>Old School</t>
    <phoneticPr fontId="6" type="noConversion"/>
  </si>
  <si>
    <t>啊啊啊啊啊啊啊啊啊啊啊啊啊啊啊啊啊啊啊啊啊啊啊啊啊啊啊啊啊啊啊啊啊啊啊啊啊啊啊啊</t>
    <phoneticPr fontId="5" type="noConversion"/>
  </si>
  <si>
    <t>本轮游戏增加5次暂停时间，胡牌后恢复</t>
    <phoneticPr fontId="5" type="noConversion"/>
  </si>
  <si>
    <t>将下一个方块替换成相同方块数量的其他形状</t>
    <phoneticPr fontId="5" type="noConversion"/>
  </si>
  <si>
    <t>将上一组加入胡牌区的牌放回牌库</t>
    <phoneticPr fontId="5" type="noConversion"/>
  </si>
  <si>
    <t>下次消除的行不会进行判定而是会被直接移除，胡牌后恢复为正常牌库</t>
    <phoneticPr fontId="5" type="noConversion"/>
  </si>
  <si>
    <t>下次胡牌额外获得2个1格方块</t>
    <phoneticPr fontId="5" type="noConversion"/>
  </si>
  <si>
    <t>下一个形状会变为7格长条方块</t>
    <phoneticPr fontId="5" type="noConversion"/>
  </si>
  <si>
    <t>下次胡牌选择的方块奖励会额外增加1个</t>
    <phoneticPr fontId="5" type="noConversion"/>
  </si>
  <si>
    <t>当前目标分数-20%</t>
    <phoneticPr fontId="5" type="noConversion"/>
  </si>
  <si>
    <t>强行消除底下5行方块</t>
    <phoneticPr fontId="5" type="noConversion"/>
  </si>
  <si>
    <t>使用效果复制上一个使用的道具</t>
    <phoneticPr fontId="5" type="noConversion"/>
  </si>
  <si>
    <t>当有胡牌区有刻子时，且场上有这个刻子的牌，加入该牌形成杠牌（满足多个刻子时随机）</t>
    <phoneticPr fontId="5" type="noConversion"/>
  </si>
  <si>
    <t>当胡牌区牌组小于4组且牌库中存在可以组成刻子或顺子的牌时，随机将一组牌加入胡牌区</t>
    <phoneticPr fontId="5" type="noConversion"/>
  </si>
  <si>
    <t>接下来3次消除的行不会进行判定而是会被直接移除，胡牌后恢复为正常牌库</t>
    <phoneticPr fontId="5" type="noConversion"/>
  </si>
  <si>
    <t>当前目标的金币奖励x3</t>
    <phoneticPr fontId="5" type="noConversion"/>
  </si>
  <si>
    <t>20秒内每次消除行会给与金币，初始为1，此后每消除1行金币奖励x2，期间胡牌效果中止</t>
    <phoneticPr fontId="5" type="noConversion"/>
  </si>
  <si>
    <t>40秒内不会出现5格方块，期间胡牌效果中止</t>
    <phoneticPr fontId="5" type="noConversion"/>
  </si>
  <si>
    <t>20秒内每次消除行会给增加当前得分的5%，期间胡牌效果中止</t>
    <phoneticPr fontId="5" type="noConversion"/>
  </si>
  <si>
    <t>胡牌时所有牌型都视为平胡，消行分数调整为：基础分x2的“连续消行数量”次方</t>
    <phoneticPr fontId="6" type="noConversion"/>
  </si>
  <si>
    <t>每轮游戏开始时，剩余游戏时间变为固定95秒</t>
    <phoneticPr fontId="6" type="noConversion"/>
  </si>
  <si>
    <t>每次消除多行时会视为一行来进行麻将判定</t>
    <phoneticPr fontId="6" type="noConversion"/>
  </si>
  <si>
    <t>整局游戏&lt;color=#3296DC&gt;基础分+3&lt;/color&gt;</t>
    <phoneticPr fontId="5" type="noConversion"/>
  </si>
  <si>
    <t>本轮游戏&lt;color=#3296DC&gt;基础分+8&lt;/color&gt;，胡牌后恢复</t>
    <phoneticPr fontId="5" type="noConversion"/>
  </si>
  <si>
    <t>本轮游戏&lt;color=#3296DC&gt;基础分+16&lt;/color&gt;，胡牌后&lt;color=#3296DC&gt;基础分-32&lt;/color&gt;（最低为1），再次胡牌后恢复</t>
    <phoneticPr fontId="5" type="noConversion"/>
  </si>
  <si>
    <t>整局游戏当前&lt;color=#3296DC&gt;基础分x2&lt;/color&gt;</t>
    <phoneticPr fontId="5" type="noConversion"/>
  </si>
  <si>
    <t>整局游戏方块&lt;color=#36BA98&gt;下降速度-3&lt;/color&gt;</t>
    <phoneticPr fontId="5" type="noConversion"/>
  </si>
  <si>
    <t>本轮游戏方块&lt;color=#36BA98&gt;下降速度-8&lt;/color&gt;，胡牌后恢复</t>
    <phoneticPr fontId="5" type="noConversion"/>
  </si>
  <si>
    <t>接下来10个方块的&lt;color=#36BA98&gt;下降速度-15&lt;/color&gt;（最低为1），期间胡牌效果中止</t>
    <phoneticPr fontId="5" type="noConversion"/>
  </si>
  <si>
    <t>剩余&lt;color=#36BA98&gt;游戏时间+40秒&lt;/color&gt;</t>
    <phoneticPr fontId="5" type="noConversion"/>
  </si>
  <si>
    <t>圈数计数+2，方块&lt;color=#36BA98&gt;下降速度+2&lt;/color&gt;</t>
    <phoneticPr fontId="5" type="noConversion"/>
  </si>
  <si>
    <t>本轮游戏如果游戏失败则会将场上所有牌返回牌库，&lt;color=#36BA98&gt;游戏时间+30秒&lt;/color&gt;，然后继续游戏</t>
    <phoneticPr fontId="5" type="noConversion"/>
  </si>
  <si>
    <t>整局游戏&lt;color=#3296DC&gt;基础分+18&lt;/color&gt;，方块&lt;color=#36BA98&gt;下落速度-8&lt;/color&gt;，&lt;color=#36BA98&gt;游戏时间+80秒&lt;/color&gt;，强行消除底下3行方块</t>
    <phoneticPr fontId="5" type="noConversion"/>
  </si>
  <si>
    <t>移除所有数字1和9的牌，&lt;color=#FF595E&gt;方块倍率-12（最低为1）&lt;/color&gt;</t>
    <phoneticPr fontId="6" type="noConversion"/>
  </si>
  <si>
    <t>随机移除一种花色所有的牌，&lt;color=#FF595E&gt;方块倍率-16（最低为1）&lt;/color&gt;</t>
    <phoneticPr fontId="6" type="noConversion"/>
  </si>
  <si>
    <t>胡牌时如牌型仅2种花面，视为“清一色”牌型，&lt;color=#FF595E&gt;方块倍率-16&lt;/color&gt;（最低为1）</t>
    <phoneticPr fontId="6" type="noConversion"/>
  </si>
  <si>
    <t>每轮游戏开始时，第1个方块固定是“巨人方块”，&lt;color=#FF595E&gt;方块倍率+36&lt;/color&gt;</t>
    <phoneticPr fontId="6" type="noConversion"/>
  </si>
  <si>
    <t>所有形状的方块所提供的&lt;color=#FF595E&gt;方块倍率变为3&lt;/color&gt;</t>
    <phoneticPr fontId="6" type="noConversion"/>
  </si>
  <si>
    <t>每经过6秒&lt;color=#3296DC&gt;基础分增加或减少1~36&lt;/color&gt;（最低为1），胡牌后重置</t>
    <phoneticPr fontId="6" type="noConversion"/>
  </si>
  <si>
    <t>每轮游戏开始时，&lt;color=#3296DC&gt;基础分-10&lt;/color&gt;（最低为1），每当一次性消除4行及以上时&lt;color=#3296DC&gt;基础分+8&lt;/color&gt;，胡牌后重置</t>
    <phoneticPr fontId="6" type="noConversion"/>
  </si>
  <si>
    <t>胡牌时如果是平胡，&lt;color=#E682E6&gt;额外倍率x0&lt;/color&gt;，且无奖励，其他牌型计算番数倍率时底数从2变为3</t>
  </si>
  <si>
    <t>胡牌时会自动随机选择奖励，并在游戏开始时自动使用所有可用道具，&lt;color=#E682E6&gt;额外倍率x4&lt;/color&gt;</t>
  </si>
  <si>
    <t>当有5格方块时生效，5格方块出现的权重提高200%，&lt;color=#E682E6&gt;额外倍率x3&lt;/color&gt;</t>
  </si>
  <si>
    <t>当牌库中剩余的牌低于36张时游戏失败，&lt;color=#E682E6&gt;额外倍率x2&lt;/color&gt;</t>
  </si>
  <si>
    <t>方块有10%的概率以25的速度下落，&lt;color=#E682E6&gt;额外倍率x2&lt;/color&gt;</t>
  </si>
  <si>
    <t>方块中的麻将牌面会随机旋转方向，&lt;color=#E682E6&gt;额外倍率x2&lt;/color&gt;</t>
  </si>
  <si>
    <t>键盘上下、左右按键功能调换，&lt;color=#E682E6&gt;额外倍率x3&lt;/color&gt;</t>
  </si>
  <si>
    <t>每经过10秒即会强行消除最底下一行方块，&lt;color=#E682E6&gt;额外倍率x2&lt;/color&gt;</t>
  </si>
  <si>
    <t>胡牌时每种奖励的数量减为1个，&lt;color=#E682E6&gt;额外倍率x3&lt;/color&gt;</t>
  </si>
  <si>
    <t>&lt;color=#E682E6&gt;额外倍率x16&lt;/color&gt;</t>
  </si>
  <si>
    <t>每轮游戏开始时，会将方块列表中所有方块随机变为其他方块，&lt;color=#E682E6&gt;额外倍率x5&lt;/color&gt;</t>
  </si>
  <si>
    <t>胡牌时强行加入随机一个5格方块，&lt;color=#E682E6&gt;额外倍率x5&lt;/color&gt;</t>
    <phoneticPr fontId="6" type="noConversion"/>
  </si>
  <si>
    <t>空手道大师</t>
    <phoneticPr fontId="6" type="noConversion"/>
  </si>
  <si>
    <t>当场上有方块高度超过8时，方块下降速度变为5，游戏时间流逝速度减慢为20%</t>
    <phoneticPr fontId="6" type="noConversion"/>
  </si>
  <si>
    <t>文本</t>
    <phoneticPr fontId="5" type="noConversion"/>
  </si>
  <si>
    <t>效果</t>
    <phoneticPr fontId="5" type="noConversion"/>
  </si>
  <si>
    <t>整局游戏基础分+3</t>
    <phoneticPr fontId="5" type="noConversion"/>
  </si>
  <si>
    <t>本轮游戏基础分+16，胡牌后基础分-32（最低为1），再次胡牌后恢复</t>
    <phoneticPr fontId="5" type="noConversion"/>
  </si>
  <si>
    <t>整局游戏方块下降速度-3</t>
    <phoneticPr fontId="5" type="noConversion"/>
  </si>
  <si>
    <t>本轮游戏方块下降速度-8，胡牌后恢复</t>
    <phoneticPr fontId="5" type="noConversion"/>
  </si>
  <si>
    <t>接下来10个方块的下降速度-15（最低为1），期间胡牌效果中止</t>
    <phoneticPr fontId="5" type="noConversion"/>
  </si>
  <si>
    <t>剩余游戏时间+40秒</t>
    <phoneticPr fontId="5" type="noConversion"/>
  </si>
  <si>
    <t>整局游戏当前基础分x2</t>
    <phoneticPr fontId="5" type="noConversion"/>
  </si>
  <si>
    <t>本轮游戏如果游戏失败则会将场上所有牌返回牌库，游戏时间+30秒，然后继续游戏</t>
    <phoneticPr fontId="5" type="noConversion"/>
  </si>
  <si>
    <t>剪刀</t>
    <phoneticPr fontId="5" type="noConversion"/>
  </si>
  <si>
    <t>Scissors</t>
    <phoneticPr fontId="5" type="noConversion"/>
  </si>
  <si>
    <t>移除方块列表中方块倍率最大的方块</t>
    <phoneticPr fontId="5" type="noConversion"/>
  </si>
  <si>
    <t>护照-筒子</t>
    <phoneticPr fontId="5" type="noConversion"/>
  </si>
  <si>
    <t>护照-万子</t>
    <phoneticPr fontId="5" type="noConversion"/>
  </si>
  <si>
    <t>护照-条子</t>
    <phoneticPr fontId="5" type="noConversion"/>
  </si>
  <si>
    <t>Passport - Tong</t>
    <phoneticPr fontId="5" type="noConversion"/>
  </si>
  <si>
    <t>Passport - Wan</t>
    <phoneticPr fontId="5" type="noConversion"/>
  </si>
  <si>
    <t>Passport - Tiao</t>
    <phoneticPr fontId="5" type="noConversion"/>
  </si>
  <si>
    <t>金苹果</t>
    <phoneticPr fontId="5" type="noConversion"/>
  </si>
  <si>
    <t>Golden Apple</t>
    <phoneticPr fontId="5" type="noConversion"/>
  </si>
  <si>
    <t>亚空间</t>
    <phoneticPr fontId="6" type="noConversion"/>
  </si>
  <si>
    <t>Subspace</t>
    <phoneticPr fontId="6" type="noConversion"/>
  </si>
  <si>
    <t>杠上开花</t>
    <phoneticPr fontId="6" type="noConversion"/>
  </si>
  <si>
    <t>方块倍率-20，每组杠牌提供的番数+1</t>
    <phoneticPr fontId="6" type="noConversion"/>
  </si>
  <si>
    <t>海底捞月</t>
    <phoneticPr fontId="6" type="noConversion"/>
  </si>
  <si>
    <t>完成一圈所需要的轮数-1，每次胡牌方块下降速度额外+2</t>
    <phoneticPr fontId="6" type="noConversion"/>
  </si>
  <si>
    <t>当牌库中的麻将不足时，如果当前方块着陆后触发胡牌，本次胡牌基础分+36</t>
    <phoneticPr fontId="6" type="noConversion"/>
  </si>
  <si>
    <t>自然保护区</t>
    <phoneticPr fontId="6" type="noConversion"/>
  </si>
  <si>
    <t>不可使用道具，&lt;color=#E682E6&gt;额外倍率x4&lt;/color&gt;</t>
    <phoneticPr fontId="6" type="noConversion"/>
  </si>
  <si>
    <t>绝杀</t>
    <phoneticPr fontId="6" type="noConversion"/>
  </si>
  <si>
    <t>千里走单骑</t>
    <phoneticPr fontId="6" type="noConversion"/>
  </si>
  <si>
    <t>香槟</t>
    <phoneticPr fontId="5" type="noConversion"/>
  </si>
  <si>
    <t>Champagne</t>
    <phoneticPr fontId="5" type="noConversion"/>
  </si>
  <si>
    <t>后场上所有方块的麻将牌面被随机打乱</t>
    <phoneticPr fontId="5" type="noConversion"/>
  </si>
  <si>
    <t>强行消除最上方3行方块</t>
    <phoneticPr fontId="5" type="noConversion"/>
  </si>
  <si>
    <t>Drop Bomb</t>
    <phoneticPr fontId="5" type="noConversion"/>
  </si>
  <si>
    <t>空投炸弹</t>
    <phoneticPr fontId="5" type="noConversion"/>
  </si>
  <si>
    <t>如果没有其他条约，每完成一圈胡牌，额外倍率x2，期间加入条约则失效</t>
    <phoneticPr fontId="6" type="noConversion"/>
  </si>
  <si>
    <t>整局游戏基础分+20，方块下落速度-10，游戏时间+100秒，强行消除底下4行方块</t>
    <phoneticPr fontId="5" type="noConversion"/>
  </si>
  <si>
    <t>方块列表中每有一种方块，整局游戏基础分+3</t>
    <phoneticPr fontId="5" type="noConversion"/>
  </si>
  <si>
    <t>初始</t>
    <phoneticPr fontId="5" type="noConversion"/>
  </si>
  <si>
    <t>垃圾筒</t>
    <phoneticPr fontId="5" type="noConversion"/>
  </si>
  <si>
    <t>本轮游戏基础分+8，胡牌后恢复</t>
    <phoneticPr fontId="5" type="noConversion"/>
  </si>
  <si>
    <t>本次胡牌即完成一圈，整局游戏方块下降速度+3</t>
    <phoneticPr fontId="5" type="noConversion"/>
  </si>
  <si>
    <t>立刻获得2个1格方块</t>
    <phoneticPr fontId="5" type="noConversion"/>
  </si>
  <si>
    <t>如果下下个方块降落后胡牌，本轮游戏基础分+10</t>
    <phoneticPr fontId="5" type="noConversion"/>
  </si>
  <si>
    <t>效果</t>
    <phoneticPr fontId="6" type="noConversion"/>
  </si>
  <si>
    <t>文本</t>
    <phoneticPr fontId="6" type="noConversion"/>
  </si>
  <si>
    <t>不可使用道具，额外倍率x4</t>
    <phoneticPr fontId="6" type="noConversion"/>
  </si>
  <si>
    <t>胡牌时强行加入随机一个5格方块，额外倍率x5</t>
    <phoneticPr fontId="6" type="noConversion"/>
  </si>
  <si>
    <t>方块倍率-15（最低为1），每次将“刻子”牌加入胡牌区时，整局游戏基础分+5</t>
    <phoneticPr fontId="6" type="noConversion"/>
  </si>
  <si>
    <t>每轮游戏开始时，会将方块列表中所有方块随机变为其他方块，额外倍率x5</t>
    <phoneticPr fontId="6" type="noConversion"/>
  </si>
  <si>
    <t>所有形状的方块所提供的方块倍率变为3</t>
    <phoneticPr fontId="6" type="noConversion"/>
  </si>
  <si>
    <t>每经过6秒基础分增加或减少1~36（最低为1），胡牌后重置</t>
    <phoneticPr fontId="6" type="noConversion"/>
  </si>
  <si>
    <t>额外倍率x16</t>
    <phoneticPr fontId="6" type="noConversion"/>
  </si>
  <si>
    <t>胡牌时每种奖励的数量减为1个，额外倍率x3</t>
    <phoneticPr fontId="6" type="noConversion"/>
  </si>
  <si>
    <t>每经过10秒即会强行消除最底下一行方块，额外倍率x2</t>
    <phoneticPr fontId="6" type="noConversion"/>
  </si>
  <si>
    <t>键盘上下、左右按键功能调换，额外倍率x3</t>
    <phoneticPr fontId="6" type="noConversion"/>
  </si>
  <si>
    <t>方块中的麻将牌面会随机旋转方向，额外倍率x2</t>
    <phoneticPr fontId="6" type="noConversion"/>
  </si>
  <si>
    <t>方块有10%的概率以25的速度下落，额外倍率x2</t>
    <phoneticPr fontId="6" type="noConversion"/>
  </si>
  <si>
    <t>当牌库中剩余的牌低于36张时游戏失败，额外倍率x2</t>
    <phoneticPr fontId="6" type="noConversion"/>
  </si>
  <si>
    <t>每轮游戏开始时，第1个方块固定是“巨人方块”，方块倍率+36</t>
    <phoneticPr fontId="6" type="noConversion"/>
  </si>
  <si>
    <t>当有5格方块时生效，5格方块出现的权重提高200%，额外倍率x3</t>
    <phoneticPr fontId="6" type="noConversion"/>
  </si>
  <si>
    <t>胡牌时如牌型仅2种花面，视为“清一色”牌型，方块倍率-16（最低为1）</t>
    <phoneticPr fontId="6" type="noConversion"/>
  </si>
  <si>
    <t>胡牌时如果是平胡，额外倍率x0，且无奖励，其他牌型计算番数倍率时底数从2变为3</t>
    <phoneticPr fontId="6" type="noConversion"/>
  </si>
  <si>
    <t>胡牌时会自动随机选择奖励，并在游戏开始时自动使用所有可用道具，额外倍率x4</t>
    <phoneticPr fontId="6" type="noConversion"/>
  </si>
  <si>
    <t>Nature Reserve</t>
    <phoneticPr fontId="6" type="noConversion"/>
  </si>
  <si>
    <t>One Man Army</t>
    <phoneticPr fontId="6" type="noConversion"/>
  </si>
  <si>
    <t>Blooming on Kong</t>
    <phoneticPr fontId="6" type="noConversion"/>
  </si>
  <si>
    <t>Last Gasp Goal</t>
    <phoneticPr fontId="6" type="noConversion"/>
  </si>
  <si>
    <t>初始</t>
    <phoneticPr fontId="6" type="noConversion"/>
  </si>
  <si>
    <t>Bottom Moon</t>
    <phoneticPr fontId="6" type="noConversion"/>
  </si>
  <si>
    <t>每轮游戏开始时，基础分-10（最低为1），每当一次性消除4行及以上时基础分+8，胡牌后重置</t>
    <phoneticPr fontId="6" type="noConversion"/>
  </si>
  <si>
    <t>随机移除一种花色所有的牌，方块倍率-16（最低为1）</t>
    <phoneticPr fontId="6" type="noConversion"/>
  </si>
  <si>
    <t>移除所有数字1和9的牌，方块倍率-12（最低为1）</t>
    <phoneticPr fontId="6" type="noConversion"/>
  </si>
  <si>
    <t>方块下降速度+10，额外倍率x2</t>
    <phoneticPr fontId="6" type="noConversion"/>
  </si>
  <si>
    <t>接下来15秒的方块会尽可能只有筒子牌</t>
    <phoneticPr fontId="5" type="noConversion"/>
  </si>
  <si>
    <t>接下来15秒的方块会尽可能只有万子牌</t>
    <phoneticPr fontId="5" type="noConversion"/>
  </si>
  <si>
    <t>接下来15秒的方块会尽可能只有条子牌</t>
    <phoneticPr fontId="5" type="noConversion"/>
  </si>
  <si>
    <t>每当向胡牌区添加一张”一条“，本局基础分+6，胡牌后重置</t>
    <phoneticPr fontId="6" type="noConversion"/>
  </si>
  <si>
    <t>剩余时间小于3秒时，当前基础分+36</t>
    <phoneticPr fontId="6" type="noConversion"/>
  </si>
  <si>
    <t>背水一战</t>
    <phoneticPr fontId="6" type="noConversion"/>
  </si>
  <si>
    <t>A Last Stand</t>
    <phoneticPr fontId="6" type="noConversion"/>
  </si>
  <si>
    <t>消除行时麻将不会返回牌库，额外倍率x10</t>
    <phoneticPr fontId="6" type="noConversion"/>
  </si>
  <si>
    <t>下一个方块预览会被迷雾遮挡，额外倍率x3</t>
    <phoneticPr fontId="6" type="noConversion"/>
  </si>
  <si>
    <t>迷雾</t>
    <phoneticPr fontId="6" type="noConversion"/>
  </si>
  <si>
    <t>Mist</t>
    <phoneticPr fontId="6" type="noConversion"/>
  </si>
  <si>
    <t>一气通贯</t>
    <phoneticPr fontId="6" type="noConversion"/>
  </si>
  <si>
    <t>包含4组刻子</t>
    <phoneticPr fontId="6" type="noConversion"/>
  </si>
  <si>
    <t>全是相同花色</t>
    <phoneticPr fontId="6" type="noConversion"/>
  </si>
  <si>
    <t>三色同顺</t>
    <phoneticPr fontId="6" type="noConversion"/>
  </si>
  <si>
    <t>筒、万、条都有相同数字的顺子</t>
    <phoneticPr fontId="6" type="noConversion"/>
  </si>
  <si>
    <t>基础牌型</t>
    <phoneticPr fontId="6" type="noConversion"/>
  </si>
  <si>
    <t>清老头</t>
    <phoneticPr fontId="6" type="noConversion"/>
  </si>
  <si>
    <t>全是1和9的数字</t>
    <phoneticPr fontId="6" type="noConversion"/>
  </si>
  <si>
    <t>对对</t>
    <phoneticPr fontId="6" type="noConversion"/>
  </si>
  <si>
    <t>平胡</t>
    <phoneticPr fontId="6" type="noConversion"/>
  </si>
  <si>
    <t>包含相同同花色1~9三组顺子</t>
    <phoneticPr fontId="6" type="noConversion"/>
  </si>
  <si>
    <t>x2</t>
    <phoneticPr fontId="6" type="noConversion"/>
  </si>
  <si>
    <t>No.1</t>
    <phoneticPr fontId="6" type="noConversion"/>
  </si>
  <si>
    <t>No.3</t>
  </si>
  <si>
    <t>No.4</t>
  </si>
  <si>
    <t>No.5</t>
  </si>
  <si>
    <t>No.6</t>
  </si>
  <si>
    <t>No.7</t>
  </si>
  <si>
    <t>No.8</t>
  </si>
  <si>
    <t>No.9</t>
  </si>
  <si>
    <t>No.10</t>
  </si>
  <si>
    <t>No.11</t>
  </si>
  <si>
    <t>No.12</t>
  </si>
  <si>
    <t>No.13</t>
  </si>
  <si>
    <t>No.14</t>
  </si>
  <si>
    <t>No.15</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</si>
  <si>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</si>
  <si>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</si>
  <si>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</si>
  <si>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</si>
  <si>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</si>
  <si>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</si>
  <si>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</si>
  <si>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</si>
  <si>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</si>
  <si>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</si>
  <si>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</si>
  <si>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</si>
  <si>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</si>
  <si>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</si>
  <si>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</si>
  <si>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</si>
  <si>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</si>
  <si>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</si>
  <si>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</si>
  <si>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</si>
  <si>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</si>
  <si>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完成一次番数≥4的胡牌牌型</t>
    <phoneticPr fontId="6" type="noConversion"/>
  </si>
  <si>
    <t>完成一次番数≥6的胡牌牌型</t>
    <phoneticPr fontId="6" type="noConversion"/>
  </si>
  <si>
    <t>完成一次番数≥8的胡牌牌型</t>
    <phoneticPr fontId="6" type="noConversion"/>
  </si>
  <si>
    <t>完成一次番数≥10的胡牌牌型</t>
    <phoneticPr fontId="6" type="noConversion"/>
  </si>
  <si>
    <t>完成一次番数≥12的胡牌牌型</t>
    <phoneticPr fontId="6" type="noConversion"/>
  </si>
  <si>
    <t>完成一局困难难度的游戏</t>
    <phoneticPr fontId="6" type="noConversion"/>
  </si>
  <si>
    <t>完成一局简单难度的游戏</t>
    <phoneticPr fontId="6" type="noConversion"/>
  </si>
  <si>
    <t>完成一局普通难度的游戏</t>
    <phoneticPr fontId="6" type="noConversion"/>
  </si>
  <si>
    <t>在一局游戏中累计使用20个道具</t>
    <phoneticPr fontId="6" type="noConversion"/>
  </si>
  <si>
    <t>在一局游戏中同时拥有≥20个方块</t>
    <phoneticPr fontId="6" type="noConversion"/>
  </si>
  <si>
    <t>完成一局游戏中同时拥有5个条约</t>
    <phoneticPr fontId="6" type="noConversion"/>
  </si>
  <si>
    <t>在一局游戏中基础分达到50</t>
    <phoneticPr fontId="6" type="noConversion"/>
  </si>
  <si>
    <t>在一局游戏中方块倍率达到50</t>
    <phoneticPr fontId="6" type="noConversion"/>
  </si>
  <si>
    <t>在一局游戏中基础分达到100</t>
    <phoneticPr fontId="6" type="noConversion"/>
  </si>
  <si>
    <t>在一局游戏中额外倍率达到60</t>
    <phoneticPr fontId="6" type="noConversion"/>
  </si>
  <si>
    <t>游戏最高分达到1000000分</t>
    <phoneticPr fontId="6" type="noConversion"/>
  </si>
  <si>
    <t>游戏最高分达到100000分</t>
    <phoneticPr fontId="6" type="noConversion"/>
  </si>
  <si>
    <t>游戏最高分达到10000分</t>
    <phoneticPr fontId="6" type="noConversion"/>
  </si>
  <si>
    <t>游戏最高分达到10000000分</t>
    <phoneticPr fontId="6" type="noConversion"/>
  </si>
  <si>
    <t>累计获得10000金币</t>
    <phoneticPr fontId="6" type="noConversion"/>
  </si>
  <si>
    <t>累计获得1000000金币</t>
    <phoneticPr fontId="6" type="noConversion"/>
  </si>
  <si>
    <t>累计获得100000金币</t>
    <phoneticPr fontId="6" type="noConversion"/>
  </si>
  <si>
    <t>No.37</t>
  </si>
  <si>
    <t>No.38</t>
  </si>
  <si>
    <t>No.39</t>
  </si>
  <si>
    <t>No.40</t>
  </si>
  <si>
    <t>No.41</t>
  </si>
  <si>
    <t>No.42</t>
  </si>
  <si>
    <t>No.43</t>
  </si>
  <si>
    <t>No.44</t>
  </si>
  <si>
    <t>No.45</t>
  </si>
  <si>
    <t>No.46</t>
  </si>
  <si>
    <t>No.47</t>
  </si>
  <si>
    <t>No.48</t>
  </si>
  <si>
    <t>No.49</t>
  </si>
  <si>
    <t>No.50</t>
  </si>
  <si>
    <t>在一局游戏中累计获得10个条约</t>
    <phoneticPr fontId="6" type="noConversion"/>
  </si>
  <si>
    <t>完成一局游戏且期间未获得任何道具</t>
    <phoneticPr fontId="6" type="noConversion"/>
  </si>
  <si>
    <t>完成一局游戏且期间未获得任何条约</t>
    <phoneticPr fontId="6" type="noConversion"/>
  </si>
  <si>
    <t>完成一局游戏且拥有方块数量≤8个</t>
    <phoneticPr fontId="6" type="noConversion"/>
  </si>
  <si>
    <t>在剩余时间≥50秒时完成一局游戏</t>
    <phoneticPr fontId="6" type="noConversion"/>
  </si>
  <si>
    <t>在剩余时间≥100秒时完成一局游戏</t>
    <phoneticPr fontId="6" type="noConversion"/>
  </si>
  <si>
    <t>在剩余时间≥200秒时完成一局游戏</t>
    <phoneticPr fontId="6" type="noConversion"/>
  </si>
  <si>
    <t>在剩余时间≥400秒时完成一局游戏</t>
    <phoneticPr fontId="6" type="noConversion"/>
  </si>
  <si>
    <t>在方块下落速度≥30时完成一局游戏</t>
    <phoneticPr fontId="6" type="noConversion"/>
  </si>
  <si>
    <t>在方块下落速度≥20时完成一局游戏</t>
    <phoneticPr fontId="6" type="noConversion"/>
  </si>
  <si>
    <t>在方块下落速度≥15时完成一局游戏</t>
    <phoneticPr fontId="6" type="noConversion"/>
  </si>
  <si>
    <t>在一局游戏中完成2圈胡牌</t>
    <phoneticPr fontId="6" type="noConversion"/>
  </si>
  <si>
    <t>在一局游戏中完成4圈胡牌</t>
    <phoneticPr fontId="6" type="noConversion"/>
  </si>
  <si>
    <t>解锁20种道具</t>
    <phoneticPr fontId="6" type="noConversion"/>
  </si>
  <si>
    <t>解锁30种道具</t>
    <phoneticPr fontId="6" type="noConversion"/>
  </si>
  <si>
    <t>解锁40种道具</t>
    <phoneticPr fontId="6" type="noConversion"/>
  </si>
  <si>
    <t>解锁20种条约</t>
    <phoneticPr fontId="6" type="noConversion"/>
  </si>
  <si>
    <t>解锁30种条约</t>
    <phoneticPr fontId="6" type="noConversion"/>
  </si>
  <si>
    <t>解锁40种条约</t>
    <phoneticPr fontId="6" type="noConversion"/>
  </si>
  <si>
    <t>在一局游戏中额外倍率达到30</t>
    <phoneticPr fontId="6" type="noConversion"/>
  </si>
  <si>
    <t>在一局游戏中方块倍率达到100</t>
    <phoneticPr fontId="6" type="noConversion"/>
  </si>
  <si>
    <t>累计使用100个道具</t>
    <phoneticPr fontId="6" type="noConversion"/>
  </si>
  <si>
    <t>累计获得80个条约</t>
    <phoneticPr fontId="6" type="noConversion"/>
  </si>
  <si>
    <t>累计获得30个传奇奖励</t>
    <phoneticPr fontId="6" type="noConversion"/>
  </si>
  <si>
    <t>No.2</t>
    <phoneticPr fontId="6" type="noConversion"/>
  </si>
  <si>
    <t>在一局游戏中完成6圈胡牌</t>
    <phoneticPr fontId="6" type="noConversion"/>
  </si>
  <si>
    <t>在一局游戏中完成8圈胡牌</t>
    <phoneticPr fontId="6" type="noConversion"/>
  </si>
  <si>
    <t>充新随机奖励</t>
    <phoneticPr fontId="6" type="noConversion"/>
  </si>
  <si>
    <t>方块列表中每有一种方块，整局游戏&lt;color=#3296DC&gt;基础分+3&lt;/color&gt;</t>
    <phoneticPr fontId="5" type="noConversion"/>
  </si>
  <si>
    <t>如果下下个方块降落后胡牌，本轮游戏&lt;color=#3296DC&gt;基础分+10&lt;/color&gt;</t>
    <phoneticPr fontId="5" type="noConversion"/>
  </si>
  <si>
    <t>魔术手帕</t>
    <phoneticPr fontId="5" type="noConversion"/>
  </si>
  <si>
    <t>Magic Hanky</t>
    <phoneticPr fontId="5" type="noConversion"/>
  </si>
  <si>
    <t>如果没有其他条约，每完成一圈胡牌，&lt;color=#E682E6&gt;额外倍率x2&lt;/color&gt;，期间加入条约则失效</t>
    <phoneticPr fontId="6" type="noConversion"/>
  </si>
  <si>
    <t>消除行时麻将不会返回牌库，&lt;color=#E682E6&gt;额外倍率x10&lt;/color&gt;</t>
    <phoneticPr fontId="6" type="noConversion"/>
  </si>
  <si>
    <t>方块落地后牌面会在12秒内逐渐变为黑色，额外倍率x4</t>
    <phoneticPr fontId="6" type="noConversion"/>
  </si>
  <si>
    <t>方块落地后牌面会在12秒内逐渐变为黑色，&lt;color=#E682E6&gt;额外倍率x4&lt;/color&gt;</t>
    <phoneticPr fontId="6" type="noConversion"/>
  </si>
  <si>
    <t>剩余时间小于3秒时，当前&lt;color=#3296DC&gt;基础分+36&lt;/color&gt;</t>
    <phoneticPr fontId="6" type="noConversion"/>
  </si>
  <si>
    <t>每当向胡牌区添加一张”一条“，本局&lt;color=#3296DC&gt;基础分+6&lt;/color&gt;，胡牌后重置</t>
    <phoneticPr fontId="6" type="noConversion"/>
  </si>
  <si>
    <t>每轮游戏开始时，胡牌基础分+70，之后每秒-1（最低为1），胡牌后重置</t>
    <phoneticPr fontId="6" type="noConversion"/>
  </si>
  <si>
    <t>每轮游戏开始时，胡牌&lt;color=#3296DC&gt;基础分+70&lt;/color&gt;，之后&lt;color=#3296DC&gt;每秒-1&lt;/color&gt;（最低为1），胡牌后重置</t>
    <phoneticPr fontId="6" type="noConversion"/>
  </si>
  <si>
    <t>&lt;color=#FF595E&gt;方块倍率-20（最低为1）&lt;/color&gt;，每组杠牌提供的番数+1</t>
    <phoneticPr fontId="6" type="noConversion"/>
  </si>
  <si>
    <t>方块&lt;color=#36BA98&gt;下降速度+10&lt;/color&gt;，&lt;color=#E682E6&gt;额外倍率x2&lt;/color&gt;</t>
    <phoneticPr fontId="6" type="noConversion"/>
  </si>
  <si>
    <t>下一个方块预览会被迷雾遮挡，&lt;color=#E682E6&gt;额外倍率x3&lt;/color&gt;</t>
    <phoneticPr fontId="6" type="noConversion"/>
  </si>
  <si>
    <t>当牌库中的麻将不足时，如果当前方块着陆后触发胡牌，本次胡牌&lt;color=#3296DC&gt;基础分+36&lt;/color&gt;</t>
    <phoneticPr fontId="6" type="noConversion"/>
  </si>
  <si>
    <t>每次胡牌时游戏时间奖励+20秒</t>
    <phoneticPr fontId="6" type="noConversion"/>
  </si>
  <si>
    <t>胡牌时所有牌型都视为平胡，消行分数调整为：&lt;color=#3296DC&gt;基础分x2&lt;/color&gt;的“连续消行数量”次方</t>
    <phoneticPr fontId="6" type="noConversion"/>
  </si>
  <si>
    <t>完成一圈所需要的轮数-1，每次胡牌方块&lt;color=#36BA98&gt;下降速度&lt;/color&gt;额外+2</t>
    <phoneticPr fontId="6" type="noConversion"/>
  </si>
  <si>
    <t>获得300金币</t>
    <phoneticPr fontId="5" type="noConversion"/>
  </si>
  <si>
    <t>胡牌时不再奖励游戏时间，目标金币奖励x2</t>
    <phoneticPr fontId="6" type="noConversion"/>
  </si>
  <si>
    <t>&lt;color=#FF595E&gt;方块倍率-15&lt;/color&gt;（最低为1），每次将“刻子”牌加入胡牌区时，整局游戏&lt;color=#3296DC&gt;基础分+5&lt;/color&gt;</t>
    <phoneticPr fontId="6" type="noConversion"/>
  </si>
  <si>
    <t>方块下落时每2秒会随机往左或右移动1~2格，&lt;color=#E682E6&gt;额外倍率x3&lt;/color&gt;</t>
    <phoneticPr fontId="6" type="noConversion"/>
  </si>
  <si>
    <t>方块下落时每2秒会随机往左或右移动1~2格，额外倍率x3</t>
    <phoneticPr fontId="6" type="noConversion"/>
  </si>
  <si>
    <t>60秒内只会出现1~3格的方块，期间胡牌则效果停止</t>
    <phoneticPr fontId="5" type="noConversion"/>
  </si>
  <si>
    <t>Key</t>
  </si>
  <si>
    <t>zh_CN</t>
  </si>
  <si>
    <t>zh_TW</t>
  </si>
  <si>
    <t>en_US</t>
  </si>
  <si>
    <t>ja_JP</t>
  </si>
  <si>
    <t>麻将方块 108</t>
  </si>
  <si>
    <t>麻將方塊 108</t>
  </si>
  <si>
    <t>MAHTRIS 108</t>
  </si>
  <si>
    <t>マートリス 108</t>
  </si>
  <si>
    <t>开始游戏</t>
  </si>
  <si>
    <t>開始遊戲</t>
  </si>
  <si>
    <t>Start Game</t>
  </si>
  <si>
    <t>ゲーム開始</t>
  </si>
  <si>
    <t>難度</t>
  </si>
  <si>
    <t>Difficulty</t>
  </si>
  <si>
    <t>難易度</t>
  </si>
  <si>
    <t>难度：</t>
  </si>
  <si>
    <t>難度：</t>
  </si>
  <si>
    <t xml:space="preserve">Difficulty: </t>
  </si>
  <si>
    <t>難易度：</t>
  </si>
  <si>
    <t>NEWBIE</t>
  </si>
  <si>
    <t>入門</t>
  </si>
  <si>
    <t>专家</t>
  </si>
  <si>
    <t>專家</t>
  </si>
  <si>
    <t>EXPERT</t>
  </si>
  <si>
    <t>玄人</t>
  </si>
  <si>
    <t>大師</t>
  </si>
  <si>
    <t>MASTER</t>
  </si>
  <si>
    <t>達人</t>
  </si>
  <si>
    <t>最高分：</t>
  </si>
  <si>
    <t xml:space="preserve">RECORD: </t>
  </si>
  <si>
    <t>ベスト：</t>
  </si>
  <si>
    <t>ITEM_BOMB_NAME</t>
  </si>
  <si>
    <t>炸彈</t>
  </si>
  <si>
    <t>爆弾</t>
  </si>
  <si>
    <t>ITEM_BOMB_DES</t>
  </si>
  <si>
    <t>道具 · 条约</t>
    <phoneticPr fontId="5" type="noConversion"/>
  </si>
  <si>
    <t>成就</t>
    <phoneticPr fontId="5" type="noConversion"/>
  </si>
  <si>
    <t>MENU_SCORE_RECORD_COLON</t>
    <phoneticPr fontId="5" type="noConversion"/>
  </si>
  <si>
    <t>MENU_ACHIEVEMENT</t>
    <phoneticPr fontId="5" type="noConversion"/>
  </si>
  <si>
    <t>MENU_ITEM_PROTOCOL</t>
    <phoneticPr fontId="5" type="noConversion"/>
  </si>
  <si>
    <t>MENU_DIFFICULTY_COLON</t>
    <phoneticPr fontId="5" type="noConversion"/>
  </si>
  <si>
    <t>MENU_START</t>
    <phoneticPr fontId="5" type="noConversion"/>
  </si>
  <si>
    <t>MENU_TITLE</t>
    <phoneticPr fontId="5" type="noConversion"/>
  </si>
  <si>
    <t>MENU_EASY</t>
    <phoneticPr fontId="5" type="noConversion"/>
  </si>
  <si>
    <t>MENU_NORMAL</t>
    <phoneticPr fontId="5" type="noConversion"/>
  </si>
  <si>
    <t>MENU_HARD</t>
    <phoneticPr fontId="5" type="noConversion"/>
  </si>
  <si>
    <t>DIFFICULTY_EASY</t>
    <phoneticPr fontId="5" type="noConversion"/>
  </si>
  <si>
    <t>DIFFICULTY_NORMAL</t>
    <phoneticPr fontId="5" type="noConversion"/>
  </si>
  <si>
    <t>DIFFICULTY_HARD</t>
    <phoneticPr fontId="5" type="noConversion"/>
  </si>
  <si>
    <t>DIFFICULTY_TARGET_REWARDS</t>
    <phoneticPr fontId="5" type="noConversion"/>
  </si>
  <si>
    <t>目标 · 奖励</t>
    <phoneticPr fontId="5" type="noConversion"/>
  </si>
  <si>
    <t>DIFFICULTY_INITIAL</t>
    <phoneticPr fontId="5" type="noConversion"/>
  </si>
  <si>
    <t>初始状态</t>
    <phoneticPr fontId="5" type="noConversion"/>
  </si>
  <si>
    <t>DIFFICULTY_SPEED</t>
    <phoneticPr fontId="5" type="noConversion"/>
  </si>
  <si>
    <t>DIFFICULTY_ITEM</t>
    <phoneticPr fontId="5" type="noConversion"/>
  </si>
  <si>
    <t>DIFFICULTY_PROTOCOL</t>
    <phoneticPr fontId="5" type="noConversion"/>
  </si>
  <si>
    <t>DIFFICULTY_BLOCK</t>
    <phoneticPr fontId="5" type="noConversion"/>
  </si>
  <si>
    <t>速度</t>
    <phoneticPr fontId="5" type="noConversion"/>
  </si>
  <si>
    <t>条约</t>
    <phoneticPr fontId="5" type="noConversion"/>
  </si>
  <si>
    <t>道具</t>
    <phoneticPr fontId="5" type="noConversion"/>
  </si>
  <si>
    <t>初始方块</t>
    <phoneticPr fontId="5" type="noConversion"/>
  </si>
  <si>
    <t>DIFFICULTY_SELECT</t>
    <phoneticPr fontId="5" type="noConversion"/>
  </si>
  <si>
    <t>DIFFICULTY_SELECTED</t>
    <phoneticPr fontId="5" type="noConversion"/>
  </si>
  <si>
    <t>选择</t>
    <phoneticPr fontId="5" type="noConversion"/>
  </si>
  <si>
    <t>已选择</t>
    <phoneticPr fontId="5" type="noConversion"/>
  </si>
  <si>
    <t>DIFFICULTY_NORMAL_CONDITION</t>
    <phoneticPr fontId="5" type="noConversion"/>
  </si>
  <si>
    <t>DIFFICULTY_HARD_CONDITION</t>
    <phoneticPr fontId="5" type="noConversion"/>
  </si>
  <si>
    <t>通关一局【新手】难度游戏即可解锁</t>
    <phoneticPr fontId="5" type="noConversion"/>
  </si>
  <si>
    <t>通关一局【专家】难度游戏即可解锁</t>
    <phoneticPr fontId="5" type="noConversion"/>
  </si>
  <si>
    <t>ITEM_PROTOCOL_ITEM</t>
    <phoneticPr fontId="5" type="noConversion"/>
  </si>
  <si>
    <t>ITEM_PROTOCOL_PROTOCOL</t>
    <phoneticPr fontId="5" type="noConversion"/>
  </si>
  <si>
    <t>ACHIEVEMENT_ACHIEVEMENT</t>
    <phoneticPr fontId="5" type="noConversion"/>
  </si>
  <si>
    <t>INTRODUCTION_TITLE</t>
    <phoneticPr fontId="5" type="noConversion"/>
  </si>
  <si>
    <t>ITEM_PROTOCOL_TITLE</t>
    <phoneticPr fontId="5" type="noConversion"/>
  </si>
  <si>
    <t>DIFFICULTY_TITLE</t>
    <phoneticPr fontId="5" type="noConversion"/>
  </si>
  <si>
    <t>说明</t>
    <phoneticPr fontId="5" type="noConversion"/>
  </si>
  <si>
    <t>INTRODUCTION_INTRODUCTION</t>
    <phoneticPr fontId="5" type="noConversion"/>
  </si>
  <si>
    <t>游戏说明</t>
    <phoneticPr fontId="5" type="noConversion"/>
  </si>
  <si>
    <t>INTRODUCTION_TYPE</t>
    <phoneticPr fontId="5" type="noConversion"/>
  </si>
  <si>
    <t>麻将牌型</t>
    <phoneticPr fontId="5" type="noConversion"/>
  </si>
  <si>
    <t>SETTING_TITLE</t>
    <phoneticPr fontId="5" type="noConversion"/>
  </si>
  <si>
    <t>设置</t>
    <phoneticPr fontId="5" type="noConversion"/>
  </si>
  <si>
    <t>SETTING_BGM</t>
    <phoneticPr fontId="5" type="noConversion"/>
  </si>
  <si>
    <t>SETTING_SOUND_EFFECT</t>
    <phoneticPr fontId="5" type="noConversion"/>
  </si>
  <si>
    <t>音乐</t>
    <phoneticPr fontId="5" type="noConversion"/>
  </si>
  <si>
    <t>音效</t>
    <phoneticPr fontId="5" type="noConversion"/>
  </si>
  <si>
    <t>SETTING_FULL_SCREEN</t>
    <phoneticPr fontId="5" type="noConversion"/>
  </si>
  <si>
    <t>全屏</t>
    <phoneticPr fontId="5" type="noConversion"/>
  </si>
  <si>
    <t>SETTING_LANGUAGE</t>
    <phoneticPr fontId="5" type="noConversion"/>
  </si>
  <si>
    <t>语言</t>
    <phoneticPr fontId="5" type="noConversion"/>
  </si>
  <si>
    <t>SETTING_SIMPLIFIED_CHINESE</t>
    <phoneticPr fontId="5" type="noConversion"/>
  </si>
  <si>
    <t>SETTING_TRADITIONAL_CHINESE</t>
    <phoneticPr fontId="5" type="noConversion"/>
  </si>
  <si>
    <t>SETTING_ENGLISH</t>
    <phoneticPr fontId="5" type="noConversion"/>
  </si>
  <si>
    <t>SETTING_JAPANESE</t>
    <phoneticPr fontId="5" type="noConversion"/>
  </si>
  <si>
    <t>简体中文</t>
    <phoneticPr fontId="5" type="noConversion"/>
  </si>
  <si>
    <t>繁体中文</t>
    <phoneticPr fontId="5" type="noConversion"/>
  </si>
  <si>
    <t>英语</t>
    <phoneticPr fontId="5" type="noConversion"/>
  </si>
  <si>
    <t>日语</t>
    <phoneticPr fontId="5" type="noConversion"/>
  </si>
  <si>
    <t>TIP_ITEM</t>
    <phoneticPr fontId="5" type="noConversion"/>
  </si>
  <si>
    <t>TIP_ADVANCED_ITEM</t>
    <phoneticPr fontId="5" type="noConversion"/>
  </si>
  <si>
    <t>高级道具</t>
    <phoneticPr fontId="5" type="noConversion"/>
  </si>
  <si>
    <t>TIP_PROTOCOL</t>
    <phoneticPr fontId="5" type="noConversion"/>
  </si>
  <si>
    <t>GAME_SCORE</t>
    <phoneticPr fontId="5" type="noConversion"/>
  </si>
  <si>
    <t>得分</t>
    <phoneticPr fontId="5" type="noConversion"/>
  </si>
  <si>
    <t>GAME_ENDLESS</t>
    <phoneticPr fontId="5" type="noConversion"/>
  </si>
  <si>
    <t>无尽模式</t>
    <phoneticPr fontId="5" type="noConversion"/>
  </si>
  <si>
    <t>GAME_BASE_SCORE</t>
    <phoneticPr fontId="5" type="noConversion"/>
  </si>
  <si>
    <t>GAME_BLOCK_MULTI</t>
    <phoneticPr fontId="5" type="noConversion"/>
  </si>
  <si>
    <t>GAME_EXTRA_MULTI</t>
    <phoneticPr fontId="5" type="noConversion"/>
  </si>
  <si>
    <t>GAME_BLOCK_LIST</t>
    <phoneticPr fontId="5" type="noConversion"/>
  </si>
  <si>
    <t>GAME_NEXT</t>
    <phoneticPr fontId="5" type="noConversion"/>
  </si>
  <si>
    <t>GAME_DECK</t>
    <phoneticPr fontId="5" type="noConversion"/>
  </si>
  <si>
    <t>GAME_HU_ZONE</t>
    <phoneticPr fontId="5" type="noConversion"/>
  </si>
  <si>
    <t>GAME_PROTOCOL</t>
    <phoneticPr fontId="5" type="noConversion"/>
  </si>
  <si>
    <t>GAME_ITEM</t>
    <phoneticPr fontId="5" type="noConversion"/>
  </si>
  <si>
    <t>基础分</t>
    <phoneticPr fontId="5" type="noConversion"/>
  </si>
  <si>
    <t>方块倍率</t>
    <phoneticPr fontId="5" type="noConversion"/>
  </si>
  <si>
    <t>额外倍率</t>
    <phoneticPr fontId="5" type="noConversion"/>
  </si>
  <si>
    <t>方块列表</t>
    <phoneticPr fontId="5" type="noConversion"/>
  </si>
  <si>
    <t>下一个</t>
    <phoneticPr fontId="5" type="noConversion"/>
  </si>
  <si>
    <t>牌库</t>
    <phoneticPr fontId="5" type="noConversion"/>
  </si>
  <si>
    <t>胡牌区</t>
    <phoneticPr fontId="5" type="noConversion"/>
  </si>
  <si>
    <t>GAME_PAUSED</t>
    <phoneticPr fontId="5" type="noConversion"/>
  </si>
  <si>
    <t>DECK_TITLE</t>
    <phoneticPr fontId="5" type="noConversion"/>
  </si>
  <si>
    <t>DECK_TONG</t>
    <phoneticPr fontId="5" type="noConversion"/>
  </si>
  <si>
    <t>DECK_WAN</t>
    <phoneticPr fontId="5" type="noConversion"/>
  </si>
  <si>
    <t>DECK_TIAO</t>
    <phoneticPr fontId="5" type="noConversion"/>
  </si>
  <si>
    <t>已暂停</t>
    <phoneticPr fontId="5" type="noConversion"/>
  </si>
  <si>
    <t>筒</t>
    <phoneticPr fontId="5" type="noConversion"/>
  </si>
  <si>
    <t>万</t>
    <phoneticPr fontId="5" type="noConversion"/>
  </si>
  <si>
    <t>条</t>
    <phoneticPr fontId="5" type="noConversion"/>
  </si>
  <si>
    <t>TYPE_TITLE</t>
    <phoneticPr fontId="5" type="noConversion"/>
  </si>
  <si>
    <t>牌型列表</t>
    <phoneticPr fontId="5" type="noConversion"/>
  </si>
  <si>
    <t>GAME_OVER_TITLE</t>
    <phoneticPr fontId="5" type="noConversion"/>
  </si>
  <si>
    <t>GAME_OVER_NEW_RECORD</t>
    <phoneticPr fontId="5" type="noConversion"/>
  </si>
  <si>
    <t>返回主菜单</t>
    <phoneticPr fontId="5" type="noConversion"/>
  </si>
  <si>
    <t>最高分</t>
    <phoneticPr fontId="5" type="noConversion"/>
  </si>
  <si>
    <t>游戏结束</t>
    <phoneticPr fontId="5" type="noConversion"/>
  </si>
  <si>
    <t>HU_CONTINUE</t>
    <phoneticPr fontId="5" type="noConversion"/>
  </si>
  <si>
    <t>继续</t>
    <phoneticPr fontId="5" type="noConversion"/>
  </si>
  <si>
    <t>HU_TITLE</t>
    <phoneticPr fontId="5" type="noConversion"/>
  </si>
  <si>
    <t>HU_BLOCK</t>
    <phoneticPr fontId="5" type="noConversion"/>
  </si>
  <si>
    <t>HU_ITEM</t>
    <phoneticPr fontId="5" type="noConversion"/>
  </si>
  <si>
    <t>HU_ADVANCED_ITEM</t>
    <phoneticPr fontId="5" type="noConversion"/>
  </si>
  <si>
    <t>HU_PROTOCOL</t>
    <phoneticPr fontId="5" type="noConversion"/>
  </si>
  <si>
    <t>HU_NEXT_ROUND</t>
    <phoneticPr fontId="5" type="noConversion"/>
  </si>
  <si>
    <t>请选择奖励</t>
    <phoneticPr fontId="5" type="noConversion"/>
  </si>
  <si>
    <t>方块</t>
    <phoneticPr fontId="5" type="noConversion"/>
  </si>
  <si>
    <t>开始下一轮</t>
    <phoneticPr fontId="5" type="noConversion"/>
  </si>
  <si>
    <t>道具 · 條約</t>
    <phoneticPr fontId="5" type="noConversion"/>
  </si>
  <si>
    <t>Items &amp; Protocols</t>
    <phoneticPr fontId="5" type="noConversion"/>
  </si>
  <si>
    <r>
      <t>アイテム</t>
    </r>
    <r>
      <rPr>
        <sz val="11"/>
        <color theme="1"/>
        <rFont val="Yu Gothic"/>
        <family val="3"/>
        <charset val="128"/>
      </rPr>
      <t>・条約</t>
    </r>
    <phoneticPr fontId="5" type="noConversion"/>
  </si>
  <si>
    <t>Achievements</t>
    <phoneticPr fontId="5" type="noConversion"/>
  </si>
  <si>
    <t>実績</t>
    <phoneticPr fontId="5" type="noConversion"/>
  </si>
  <si>
    <t>目標 · 獎勵</t>
    <phoneticPr fontId="5" type="noConversion"/>
  </si>
  <si>
    <t>Goals &amp; Rewards</t>
    <phoneticPr fontId="5" type="noConversion"/>
  </si>
  <si>
    <r>
      <t>目標</t>
    </r>
    <r>
      <rPr>
        <sz val="11"/>
        <color theme="1"/>
        <rFont val="Yu Gothic"/>
        <family val="3"/>
        <charset val="128"/>
      </rPr>
      <t>・報酬</t>
    </r>
    <phoneticPr fontId="5" type="noConversion"/>
  </si>
  <si>
    <t>初始狀態</t>
    <phoneticPr fontId="5" type="noConversion"/>
  </si>
  <si>
    <t>Initial State</t>
    <phoneticPr fontId="5" type="noConversion"/>
  </si>
  <si>
    <t>初期ステータス</t>
    <phoneticPr fontId="5" type="noConversion"/>
  </si>
  <si>
    <t>Speed</t>
    <phoneticPr fontId="5" type="noConversion"/>
  </si>
  <si>
    <t>Items</t>
    <phoneticPr fontId="5" type="noConversion"/>
  </si>
  <si>
    <t>アイテム</t>
    <phoneticPr fontId="5" type="noConversion"/>
  </si>
  <si>
    <t>條約</t>
    <phoneticPr fontId="5" type="noConversion"/>
  </si>
  <si>
    <t>Protocols</t>
    <phoneticPr fontId="5" type="noConversion"/>
  </si>
  <si>
    <t>条約</t>
    <phoneticPr fontId="5" type="noConversion"/>
  </si>
  <si>
    <t>初始方塊</t>
    <phoneticPr fontId="5" type="noConversion"/>
  </si>
  <si>
    <t>Initial Blocks</t>
    <phoneticPr fontId="5" type="noConversion"/>
  </si>
  <si>
    <t>初期ブロック</t>
    <phoneticPr fontId="5" type="noConversion"/>
  </si>
  <si>
    <t>選擇</t>
    <phoneticPr fontId="5" type="noConversion"/>
  </si>
  <si>
    <t>Select</t>
    <phoneticPr fontId="5" type="noConversion"/>
  </si>
  <si>
    <t>選択</t>
    <phoneticPr fontId="5" type="noConversion"/>
  </si>
  <si>
    <t>已選擇</t>
    <phoneticPr fontId="5" type="noConversion"/>
  </si>
  <si>
    <t>Selected</t>
    <phoneticPr fontId="5" type="noConversion"/>
  </si>
  <si>
    <t>選択中</t>
    <phoneticPr fontId="5" type="noConversion"/>
  </si>
  <si>
    <t>通關一局【新手】難度遊戲即可解鎖</t>
    <phoneticPr fontId="5" type="noConversion"/>
  </si>
  <si>
    <t>Clear [NEWBIE] difficulty to unlock</t>
    <phoneticPr fontId="5" type="noConversion"/>
  </si>
  <si>
    <t>[入門]をクリアでアンロック</t>
    <phoneticPr fontId="5" type="noConversion"/>
  </si>
  <si>
    <t>通關一局【專家】難度遊戲即可解鎖</t>
    <phoneticPr fontId="5" type="noConversion"/>
  </si>
  <si>
    <t>Clear [EXPERT] difficulty to unlock</t>
    <phoneticPr fontId="5" type="noConversion"/>
  </si>
  <si>
    <t>[玄人]をクリアでアンロック</t>
    <phoneticPr fontId="5" type="noConversion"/>
  </si>
  <si>
    <t>說明</t>
    <phoneticPr fontId="5" type="noConversion"/>
  </si>
  <si>
    <t>Guide</t>
    <phoneticPr fontId="5" type="noConversion"/>
  </si>
  <si>
    <t>ヘルプ</t>
    <phoneticPr fontId="5" type="noConversion"/>
  </si>
  <si>
    <t>遊戲說明</t>
    <phoneticPr fontId="5" type="noConversion"/>
  </si>
  <si>
    <t>How to Play</t>
    <phoneticPr fontId="5" type="noConversion"/>
  </si>
  <si>
    <t>遊び方</t>
    <phoneticPr fontId="5" type="noConversion"/>
  </si>
  <si>
    <t>麻將牌型</t>
    <phoneticPr fontId="5" type="noConversion"/>
  </si>
  <si>
    <t>Hand Types</t>
    <phoneticPr fontId="5" type="noConversion"/>
  </si>
  <si>
    <t>アガリ役</t>
    <phoneticPr fontId="5" type="noConversion"/>
  </si>
  <si>
    <t>設定</t>
    <phoneticPr fontId="5" type="noConversion"/>
  </si>
  <si>
    <t>Settings</t>
    <phoneticPr fontId="5" type="noConversion"/>
  </si>
  <si>
    <t>音樂</t>
    <phoneticPr fontId="5" type="noConversion"/>
  </si>
  <si>
    <t>Music</t>
    <phoneticPr fontId="5" type="noConversion"/>
  </si>
  <si>
    <t>BGM</t>
    <phoneticPr fontId="5" type="noConversion"/>
  </si>
  <si>
    <t>SFX</t>
    <phoneticPr fontId="5" type="noConversion"/>
  </si>
  <si>
    <t>SE</t>
    <phoneticPr fontId="5" type="noConversion"/>
  </si>
  <si>
    <t>全螢幕</t>
    <phoneticPr fontId="5" type="noConversion"/>
  </si>
  <si>
    <t>Fullscreen</t>
    <phoneticPr fontId="5" type="noConversion"/>
  </si>
  <si>
    <t>全画面</t>
    <phoneticPr fontId="5" type="noConversion"/>
  </si>
  <si>
    <t>語言</t>
    <phoneticPr fontId="5" type="noConversion"/>
  </si>
  <si>
    <t>Language</t>
    <phoneticPr fontId="5" type="noConversion"/>
  </si>
  <si>
    <t>言語</t>
    <phoneticPr fontId="5" type="noConversion"/>
  </si>
  <si>
    <t>簡體中文</t>
    <phoneticPr fontId="5" type="noConversion"/>
  </si>
  <si>
    <t>Simplifed Chinese</t>
    <phoneticPr fontId="5" type="noConversion"/>
  </si>
  <si>
    <t>簡体字</t>
    <phoneticPr fontId="5" type="noConversion"/>
  </si>
  <si>
    <t>繁體中文</t>
    <phoneticPr fontId="5" type="noConversion"/>
  </si>
  <si>
    <t>Traditional Chinese</t>
    <phoneticPr fontId="5" type="noConversion"/>
  </si>
  <si>
    <t>繁体字</t>
    <phoneticPr fontId="5" type="noConversion"/>
  </si>
  <si>
    <t>英語</t>
    <phoneticPr fontId="5" type="noConversion"/>
  </si>
  <si>
    <t>English</t>
    <phoneticPr fontId="5" type="noConversion"/>
  </si>
  <si>
    <t>日語</t>
    <phoneticPr fontId="5" type="noConversion"/>
  </si>
  <si>
    <t>Japanese</t>
    <phoneticPr fontId="5" type="noConversion"/>
  </si>
  <si>
    <t>日本語</t>
    <phoneticPr fontId="5" type="noConversion"/>
  </si>
  <si>
    <t>Score</t>
    <phoneticPr fontId="5" type="noConversion"/>
  </si>
  <si>
    <t>スコア</t>
    <phoneticPr fontId="5" type="noConversion"/>
  </si>
  <si>
    <t>無盡模式</t>
    <phoneticPr fontId="5" type="noConversion"/>
  </si>
  <si>
    <t>Endless Mode</t>
    <phoneticPr fontId="5" type="noConversion"/>
  </si>
  <si>
    <t>エンドレス</t>
    <phoneticPr fontId="5" type="noConversion"/>
  </si>
  <si>
    <t>基礎分</t>
    <phoneticPr fontId="5" type="noConversion"/>
  </si>
  <si>
    <t>Base Score</t>
    <phoneticPr fontId="5" type="noConversion"/>
  </si>
  <si>
    <t>基礎点</t>
  </si>
  <si>
    <t>方塊倍率</t>
    <phoneticPr fontId="5" type="noConversion"/>
  </si>
  <si>
    <t>Block Mult.</t>
    <phoneticPr fontId="5" type="noConversion"/>
  </si>
  <si>
    <t>ブロック倍率</t>
    <phoneticPr fontId="5" type="noConversion"/>
  </si>
  <si>
    <t>額外倍率</t>
    <phoneticPr fontId="5" type="noConversion"/>
  </si>
  <si>
    <t>Extra Mult.</t>
    <phoneticPr fontId="5" type="noConversion"/>
  </si>
  <si>
    <t>追加倍率</t>
    <phoneticPr fontId="5" type="noConversion"/>
  </si>
  <si>
    <t>方塊列表</t>
    <phoneticPr fontId="5" type="noConversion"/>
  </si>
  <si>
    <t>Block List</t>
    <phoneticPr fontId="5" type="noConversion"/>
  </si>
  <si>
    <t>ブロックリスト</t>
    <phoneticPr fontId="5" type="noConversion"/>
  </si>
  <si>
    <t>下一個</t>
    <phoneticPr fontId="5" type="noConversion"/>
  </si>
  <si>
    <t>NEXT</t>
    <phoneticPr fontId="5" type="noConversion"/>
  </si>
  <si>
    <t>牌庫</t>
    <phoneticPr fontId="5" type="noConversion"/>
  </si>
  <si>
    <t>Deck</t>
    <phoneticPr fontId="5" type="noConversion"/>
  </si>
  <si>
    <t>山牌</t>
    <phoneticPr fontId="5" type="noConversion"/>
  </si>
  <si>
    <t>胡牌區</t>
    <phoneticPr fontId="5" type="noConversion"/>
  </si>
  <si>
    <t>Hu Zone</t>
    <phoneticPr fontId="5" type="noConversion"/>
  </si>
  <si>
    <t>アガリ牌</t>
    <phoneticPr fontId="5" type="noConversion"/>
  </si>
  <si>
    <t>已暫停</t>
    <phoneticPr fontId="5" type="noConversion"/>
  </si>
  <si>
    <t>PAUSED</t>
    <phoneticPr fontId="5" type="noConversion"/>
  </si>
  <si>
    <t>一時停止</t>
    <phoneticPr fontId="5" type="noConversion"/>
  </si>
  <si>
    <t>萬</t>
    <phoneticPr fontId="5" type="noConversion"/>
  </si>
  <si>
    <t>索</t>
    <phoneticPr fontId="5" type="noConversion"/>
  </si>
  <si>
    <t>Dot</t>
    <phoneticPr fontId="5" type="noConversion"/>
  </si>
  <si>
    <t>Character</t>
    <phoneticPr fontId="5" type="noConversion"/>
  </si>
  <si>
    <t>Bamboo</t>
    <phoneticPr fontId="5" type="noConversion"/>
  </si>
  <si>
    <t>筒子</t>
    <phoneticPr fontId="5" type="noConversion"/>
  </si>
  <si>
    <t>萬子</t>
    <phoneticPr fontId="5" type="noConversion"/>
  </si>
  <si>
    <t>索子</t>
    <phoneticPr fontId="5" type="noConversion"/>
  </si>
  <si>
    <t>Hand List</t>
    <phoneticPr fontId="5" type="noConversion"/>
  </si>
  <si>
    <t>役一覧</t>
    <phoneticPr fontId="5" type="noConversion"/>
  </si>
  <si>
    <t>遊戲結束</t>
    <phoneticPr fontId="5" type="noConversion"/>
  </si>
  <si>
    <t>GAME OVER</t>
    <phoneticPr fontId="5" type="noConversion"/>
  </si>
  <si>
    <t>ゲームオーバー</t>
    <phoneticPr fontId="5" type="noConversion"/>
  </si>
  <si>
    <t>NEW RECORD</t>
    <phoneticPr fontId="5" type="noConversion"/>
  </si>
  <si>
    <t>新記録</t>
    <phoneticPr fontId="5" type="noConversion"/>
  </si>
  <si>
    <t>返回主菜單</t>
    <phoneticPr fontId="5" type="noConversion"/>
  </si>
  <si>
    <t>Main Menu</t>
    <phoneticPr fontId="5" type="noConversion"/>
  </si>
  <si>
    <t>メニューへ</t>
    <phoneticPr fontId="5" type="noConversion"/>
  </si>
  <si>
    <t>繼續</t>
    <phoneticPr fontId="5" type="noConversion"/>
  </si>
  <si>
    <t>Continue</t>
    <phoneticPr fontId="5" type="noConversion"/>
  </si>
  <si>
    <t>次へ</t>
    <phoneticPr fontId="5" type="noConversion"/>
  </si>
  <si>
    <t>GAME_OVER_BACK_TO_MENU</t>
    <phoneticPr fontId="5" type="noConversion"/>
  </si>
  <si>
    <t>GAME_OVER_ENDLESS</t>
    <phoneticPr fontId="5" type="noConversion"/>
  </si>
  <si>
    <t>請選擇獎勵</t>
    <phoneticPr fontId="5" type="noConversion"/>
  </si>
  <si>
    <t>Select Rewards</t>
    <phoneticPr fontId="5" type="noConversion"/>
  </si>
  <si>
    <t>報酬選択</t>
    <phoneticPr fontId="5" type="noConversion"/>
  </si>
  <si>
    <t>方塊</t>
    <phoneticPr fontId="5" type="noConversion"/>
  </si>
  <si>
    <t>Blocks</t>
    <phoneticPr fontId="5" type="noConversion"/>
  </si>
  <si>
    <t>ブロック</t>
    <phoneticPr fontId="5" type="noConversion"/>
  </si>
  <si>
    <t>高級道具</t>
    <phoneticPr fontId="5" type="noConversion"/>
  </si>
  <si>
    <t>Advanced Item</t>
    <phoneticPr fontId="5" type="noConversion"/>
  </si>
  <si>
    <t>レアアイテム</t>
    <phoneticPr fontId="5" type="noConversion"/>
  </si>
  <si>
    <t>開始下一輪</t>
    <phoneticPr fontId="5" type="noConversion"/>
  </si>
  <si>
    <t>Next Round</t>
    <phoneticPr fontId="5" type="noConversion"/>
  </si>
  <si>
    <t>次のラウンドへ</t>
    <phoneticPr fontId="5" type="noConversion"/>
  </si>
  <si>
    <t>高級アイテム</t>
    <phoneticPr fontId="5" type="noConversion"/>
  </si>
  <si>
    <t>強行消除底下2行方塊</t>
    <phoneticPr fontId="5" type="noConversion"/>
  </si>
  <si>
    <t>最下段の2列を強制消去する</t>
    <phoneticPr fontId="5" type="noConversion"/>
  </si>
  <si>
    <t>Force clear bottom 2 lines</t>
    <phoneticPr fontId="5" type="noConversion"/>
  </si>
  <si>
    <t>ITEM_PROTOCOL_LACK_GOLD</t>
    <phoneticPr fontId="5" type="noConversion"/>
  </si>
  <si>
    <t>金币不足</t>
    <phoneticPr fontId="5" type="noConversion"/>
  </si>
  <si>
    <t>XXXXX</t>
    <phoneticPr fontId="5" type="noConversion"/>
  </si>
  <si>
    <t>分级</t>
    <phoneticPr fontId="6" type="noConversion"/>
  </si>
  <si>
    <t>在方块下落速度≥50时完成一局游戏</t>
    <phoneticPr fontId="6" type="noConversion"/>
  </si>
  <si>
    <t>三色同刻</t>
    <phoneticPr fontId="6" type="noConversion"/>
  </si>
  <si>
    <t>x20</t>
    <phoneticPr fontId="6" type="noConversion"/>
  </si>
  <si>
    <t>x100</t>
    <phoneticPr fontId="6" type="noConversion"/>
  </si>
  <si>
    <t>空投卡死</t>
    <phoneticPr fontId="6" type="noConversion"/>
  </si>
  <si>
    <t>仙酒数值问题</t>
    <phoneticPr fontId="6" type="noConversion"/>
  </si>
  <si>
    <t>神之救济卡死</t>
    <phoneticPr fontId="6" type="noConversion"/>
  </si>
  <si>
    <t>分数是负数</t>
    <phoneticPr fontId="6" type="noConversion"/>
  </si>
  <si>
    <t>儿童餐胡牌不停止</t>
    <phoneticPr fontId="6" type="noConversion"/>
  </si>
  <si>
    <t>复活石胡牌不停止</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</si>
</sst>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0000_ "/>
    <numFmt numFmtId="178" formatCode="0.00000_ "/>
    <numFmt numFmtId="179" formatCode="0.0_ "/>
  </numFmts>
  <fonts count="12" x14ac:knownFonts="1">
    <font>
      <sz val="11"/>
      <color theme="1"/>
      <name val="宋体"/>
      <charset val="134"/>
      <scheme val="minor"/>
    </font>
    <font>
      <sz val="12"/>
      <color theme="1"/>
      <name val="等线"/>
      <family val="3"/>
      <charset val="134"/>
    </font>
    <font>
      <b/>
      <sz val="12"/>
      <color theme="1"/>
      <name val="等线"/>
      <family val="3"/>
      <charset val="134"/>
    </font>
    <font>
      <sz val="11"/>
      <color theme="1"/>
      <name val="等线"/>
      <family val="3"/>
      <charset val="134"/>
    </font>
    <font>
      <b/>
      <sz val="11"/>
      <color theme="1"/>
      <name val="等线"/>
      <family val="3"/>
      <charset val="134"/>
    </font>
    <font>
      <sz val="9"/>
      <name val="宋体"/>
      <family val="3"/>
      <charset val="134"/>
      <scheme val="minor"/>
    </font>
    <font>
      <sz val="9"/>
      <name val="宋体"/>
      <family val="3"/>
      <charset val="134"/>
      <scheme val="minor"/>
    </font>
    <font>
      <sz val="11"/>
      <color theme="1"/>
      <name val="等线"/>
      <family val="3"/>
      <charset val="134"/>
    </font>
    <font>
      <sz val="12"/>
      <color theme="1"/>
      <name val="等线"/>
      <family val="3"/>
      <charset val="134"/>
    </font>
    <font>
      <b/>
      <sz val="11"/>
      <color theme="1"/>
      <name val="等线"/>
      <family val="3"/>
      <charset val="134"/>
    </font>
    <font>
      <sz val="11"/>
      <color theme="1"/>
      <name val="Yu Gothic"/>
      <family val="3"/>
      <charset val="128"/>
    </font>
    <font>
      <sz val="11"/>
      <color theme="1"/>
      <name val="宋体"/>
      <family val="3"/>
      <charset val="134"/>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1"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3" fillId="4" borderId="0" xfId="0" applyFont="1" applyFill="1" applyAlignment="1">
      <alignment horizontal="center" vertical="center"/>
    </xf>
    <xf numFmtId="176" fontId="3" fillId="0" borderId="0" xfId="0" applyNumberFormat="1" applyFont="1">
      <alignment vertical="center"/>
    </xf>
    <xf numFmtId="177" fontId="3" fillId="0" borderId="0" xfId="0" applyNumberFormat="1" applyFont="1">
      <alignment vertical="center"/>
    </xf>
    <xf numFmtId="178" fontId="3" fillId="0" borderId="0" xfId="0" applyNumberFormat="1" applyFont="1">
      <alignment vertical="center"/>
    </xf>
    <xf numFmtId="0" fontId="1" fillId="2" borderId="0" xfId="0" applyFont="1" applyFill="1" applyAlignment="1">
      <alignment horizontal="center" vertical="center"/>
    </xf>
    <xf numFmtId="0" fontId="4" fillId="0" borderId="0" xfId="0" applyFont="1">
      <alignment vertical="center"/>
    </xf>
    <xf numFmtId="179" fontId="3" fillId="0" borderId="0" xfId="0" applyNumberFormat="1" applyFont="1" applyAlignment="1">
      <alignment horizontal="right" vertical="center"/>
    </xf>
    <xf numFmtId="0" fontId="7"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8" fillId="2" borderId="0" xfId="0" applyFont="1" applyFill="1">
      <alignment vertical="center"/>
    </xf>
    <xf numFmtId="0" fontId="8" fillId="2" borderId="0" xfId="0" applyFont="1" applyFill="1" applyAlignment="1">
      <alignment vertical="center" wrapText="1"/>
    </xf>
    <xf numFmtId="0" fontId="1" fillId="2" borderId="0" xfId="0" applyFont="1" applyFill="1">
      <alignment vertical="center"/>
    </xf>
    <xf numFmtId="0" fontId="1" fillId="2" borderId="0" xfId="0" applyFont="1" applyFill="1" applyAlignment="1">
      <alignment vertical="center" wrapText="1"/>
    </xf>
    <xf numFmtId="0" fontId="8" fillId="0" borderId="0" xfId="0" applyFont="1">
      <alignment vertical="center"/>
    </xf>
    <xf numFmtId="0" fontId="7" fillId="3" borderId="0" xfId="0" applyFont="1" applyFill="1">
      <alignment vertical="center"/>
    </xf>
    <xf numFmtId="0" fontId="9" fillId="0" borderId="0" xfId="0" applyFont="1" applyAlignment="1">
      <alignment horizontal="center" vertical="center"/>
    </xf>
    <xf numFmtId="0" fontId="3" fillId="5" borderId="0" xfId="0" applyFont="1" applyFill="1" applyAlignment="1">
      <alignment horizontal="center" vertical="center"/>
    </xf>
    <xf numFmtId="0" fontId="3" fillId="5" borderId="0" xfId="0" applyFont="1" applyFill="1" applyAlignment="1">
      <alignment horizontal="left" vertical="center"/>
    </xf>
    <xf numFmtId="0" fontId="7" fillId="5" borderId="0" xfId="0" applyFont="1" applyFill="1">
      <alignment vertical="center"/>
    </xf>
    <xf numFmtId="176" fontId="7" fillId="0" borderId="0" xfId="0" applyNumberFormat="1" applyFont="1" applyAlignment="1">
      <alignment horizontal="center" vertical="center"/>
    </xf>
    <xf numFmtId="176" fontId="3" fillId="0" borderId="0" xfId="0" applyNumberFormat="1" applyFont="1" applyAlignment="1">
      <alignment horizontal="center" vertical="center"/>
    </xf>
    <xf numFmtId="177" fontId="3" fillId="0" borderId="0" xfId="0" applyNumberFormat="1" applyFont="1" applyAlignment="1">
      <alignment horizontal="center" vertical="center"/>
    </xf>
    <xf numFmtId="178" fontId="3" fillId="0" borderId="0" xfId="0" applyNumberFormat="1" applyFont="1" applyAlignment="1">
      <alignment horizontal="center" vertical="center"/>
    </xf>
    <xf numFmtId="176" fontId="7" fillId="5" borderId="0" xfId="0" applyNumberFormat="1" applyFont="1" applyFill="1" applyAlignment="1">
      <alignment horizontal="center" vertical="center"/>
    </xf>
    <xf numFmtId="176" fontId="3" fillId="5" borderId="0" xfId="0" applyNumberFormat="1" applyFont="1" applyFill="1" applyAlignment="1">
      <alignment horizontal="center" vertical="center"/>
    </xf>
    <xf numFmtId="0" fontId="1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
  <sheetViews>
    <sheetView topLeftCell="A31" zoomScale="175" zoomScaleNormal="175" workbookViewId="0">
      <selection activeCell="D45" sqref="D45"/>
    </sheetView>
  </sheetViews>
  <sheetFormatPr defaultColWidth="9" defaultRowHeight="14.25" x14ac:dyDescent="0.15"/>
  <cols>
    <col min="1" max="1" width="16.625" style="6" customWidth="1"/>
    <col min="2" max="3" width="9" style="6"/>
    <col min="4" max="4" width="42.375" style="6" customWidth="1"/>
    <col min="5" max="5" width="14.75" style="6" customWidth="1"/>
    <col min="6" max="6" width="15.25" style="6" customWidth="1"/>
    <col min="7" max="7" width="9" style="6"/>
    <col min="8" max="8" width="18.5" style="6" customWidth="1"/>
    <col min="9" max="9" width="11" style="6" customWidth="1"/>
    <col min="10" max="13" width="9" style="6"/>
    <col min="14" max="14" width="12.625" style="6"/>
    <col min="15" max="16384" width="9" style="6"/>
  </cols>
  <sheetData>
    <row r="1" spans="1:9" x14ac:dyDescent="0.15">
      <c r="A1" s="15" t="s">
        <v>0</v>
      </c>
    </row>
    <row r="2" spans="1:9" x14ac:dyDescent="0.15">
      <c r="A2" s="6" t="s">
        <v>1</v>
      </c>
      <c r="H2" s="6" t="s">
        <v>2</v>
      </c>
    </row>
    <row r="3" spans="1:9" x14ac:dyDescent="0.15">
      <c r="A3" s="6" t="s">
        <v>3</v>
      </c>
      <c r="H3" s="6" t="s">
        <v>4</v>
      </c>
    </row>
    <row r="4" spans="1:9" x14ac:dyDescent="0.15">
      <c r="A4" s="6" t="s">
        <v>5</v>
      </c>
      <c r="H4" s="6" t="s">
        <v>6</v>
      </c>
    </row>
    <row r="5" spans="1:9" x14ac:dyDescent="0.15">
      <c r="A5" s="6" t="s">
        <v>7</v>
      </c>
      <c r="H5" s="6" t="s">
        <v>8</v>
      </c>
    </row>
    <row r="6" spans="1:9" x14ac:dyDescent="0.15">
      <c r="A6" s="6" t="s">
        <v>9</v>
      </c>
      <c r="H6" s="6" t="s">
        <v>10</v>
      </c>
    </row>
    <row r="7" spans="1:9" x14ac:dyDescent="0.15">
      <c r="A7" s="6" t="s">
        <v>11</v>
      </c>
      <c r="H7" s="6" t="s">
        <v>12</v>
      </c>
      <c r="I7" s="6" t="s">
        <v>13</v>
      </c>
    </row>
    <row r="8" spans="1:9" x14ac:dyDescent="0.15">
      <c r="A8" s="6" t="s">
        <v>14</v>
      </c>
      <c r="H8" s="6" t="s">
        <v>15</v>
      </c>
      <c r="I8" s="6" t="s">
        <v>16</v>
      </c>
    </row>
    <row r="9" spans="1:9" x14ac:dyDescent="0.15">
      <c r="A9" s="6" t="s">
        <v>17</v>
      </c>
      <c r="H9" s="6" t="s">
        <v>18</v>
      </c>
      <c r="I9" s="6" t="s">
        <v>19</v>
      </c>
    </row>
    <row r="11" spans="1:9" x14ac:dyDescent="0.15">
      <c r="A11" s="7" t="s">
        <v>20</v>
      </c>
      <c r="B11" s="7" t="s">
        <v>21</v>
      </c>
      <c r="C11" s="7" t="s">
        <v>22</v>
      </c>
      <c r="D11" s="7" t="s">
        <v>23</v>
      </c>
    </row>
    <row r="12" spans="1:9" x14ac:dyDescent="0.15">
      <c r="A12" s="17" t="s">
        <v>421</v>
      </c>
      <c r="B12" s="8">
        <v>1</v>
      </c>
      <c r="C12" s="8">
        <f t="shared" ref="C12" si="0">2^B12</f>
        <v>2</v>
      </c>
      <c r="D12" s="17" t="s">
        <v>417</v>
      </c>
      <c r="H12" s="6" t="s">
        <v>24</v>
      </c>
    </row>
    <row r="13" spans="1:9" x14ac:dyDescent="0.15">
      <c r="A13" s="17" t="s">
        <v>420</v>
      </c>
      <c r="B13" s="8">
        <v>3</v>
      </c>
      <c r="C13" s="8">
        <f t="shared" ref="C13:C20" si="1">2^B13</f>
        <v>8</v>
      </c>
      <c r="D13" s="17" t="s">
        <v>413</v>
      </c>
      <c r="H13" s="6" t="s">
        <v>25</v>
      </c>
    </row>
    <row r="14" spans="1:9" x14ac:dyDescent="0.15">
      <c r="A14" s="6" t="s">
        <v>26</v>
      </c>
      <c r="B14" s="8">
        <v>5</v>
      </c>
      <c r="C14" s="8">
        <f t="shared" si="1"/>
        <v>32</v>
      </c>
      <c r="D14" s="17" t="s">
        <v>414</v>
      </c>
    </row>
    <row r="15" spans="1:9" x14ac:dyDescent="0.15">
      <c r="A15" s="17" t="s">
        <v>415</v>
      </c>
      <c r="B15" s="8">
        <v>4</v>
      </c>
      <c r="C15" s="8">
        <f t="shared" si="1"/>
        <v>16</v>
      </c>
      <c r="D15" s="17" t="s">
        <v>416</v>
      </c>
      <c r="H15" s="6" t="s">
        <v>27</v>
      </c>
    </row>
    <row r="16" spans="1:9" x14ac:dyDescent="0.15">
      <c r="A16" s="6" t="s">
        <v>835</v>
      </c>
      <c r="B16" s="8"/>
      <c r="C16" s="8"/>
      <c r="D16" s="17"/>
    </row>
    <row r="17" spans="1:14" x14ac:dyDescent="0.15">
      <c r="A17" s="17" t="s">
        <v>412</v>
      </c>
      <c r="B17" s="8">
        <v>4</v>
      </c>
      <c r="C17" s="8">
        <f t="shared" si="1"/>
        <v>16</v>
      </c>
      <c r="D17" s="17" t="s">
        <v>422</v>
      </c>
      <c r="H17" s="6" t="s">
        <v>28</v>
      </c>
    </row>
    <row r="18" spans="1:14" x14ac:dyDescent="0.15">
      <c r="A18" s="17" t="s">
        <v>418</v>
      </c>
      <c r="B18" s="8">
        <v>5</v>
      </c>
      <c r="C18" s="8">
        <f t="shared" si="1"/>
        <v>32</v>
      </c>
      <c r="D18" s="17" t="s">
        <v>419</v>
      </c>
    </row>
    <row r="19" spans="1:14" x14ac:dyDescent="0.15">
      <c r="A19" s="6" t="s">
        <v>30</v>
      </c>
      <c r="B19" s="8">
        <v>4</v>
      </c>
      <c r="C19" s="8">
        <f t="shared" si="1"/>
        <v>16</v>
      </c>
      <c r="D19" s="6" t="s">
        <v>31</v>
      </c>
      <c r="H19" s="6" t="s">
        <v>29</v>
      </c>
    </row>
    <row r="20" spans="1:14" x14ac:dyDescent="0.15">
      <c r="A20" s="6" t="s">
        <v>33</v>
      </c>
      <c r="B20" s="8">
        <v>6</v>
      </c>
      <c r="C20" s="8">
        <f t="shared" si="1"/>
        <v>64</v>
      </c>
      <c r="D20" s="6" t="s">
        <v>34</v>
      </c>
      <c r="H20" s="6" t="s">
        <v>32</v>
      </c>
    </row>
    <row r="21" spans="1:14" x14ac:dyDescent="0.15">
      <c r="H21" s="6" t="s">
        <v>35</v>
      </c>
    </row>
    <row r="26" spans="1:14" x14ac:dyDescent="0.15">
      <c r="J26" s="6">
        <v>1</v>
      </c>
      <c r="K26" s="6">
        <v>0.25</v>
      </c>
      <c r="L26" s="6">
        <v>5</v>
      </c>
      <c r="N26" s="16">
        <f t="shared" ref="N26:N33" si="2">J26/K26</f>
        <v>4</v>
      </c>
    </row>
    <row r="27" spans="1:14" x14ac:dyDescent="0.15">
      <c r="J27" s="6">
        <v>1</v>
      </c>
      <c r="K27" s="6">
        <v>0.5</v>
      </c>
      <c r="L27" s="6">
        <v>10</v>
      </c>
      <c r="N27" s="16">
        <f t="shared" si="2"/>
        <v>2</v>
      </c>
    </row>
    <row r="28" spans="1:14" x14ac:dyDescent="0.15">
      <c r="J28" s="6">
        <v>1</v>
      </c>
      <c r="K28" s="6">
        <v>0.75</v>
      </c>
      <c r="L28" s="6">
        <v>15</v>
      </c>
      <c r="N28" s="16">
        <f t="shared" si="2"/>
        <v>1.3333333333333333</v>
      </c>
    </row>
    <row r="29" spans="1:14" x14ac:dyDescent="0.15">
      <c r="A29" s="7" t="s">
        <v>36</v>
      </c>
      <c r="B29" s="7" t="s">
        <v>21</v>
      </c>
      <c r="C29" s="7" t="s">
        <v>22</v>
      </c>
      <c r="D29" s="7" t="s">
        <v>37</v>
      </c>
      <c r="E29" s="7" t="s">
        <v>38</v>
      </c>
      <c r="J29" s="6">
        <v>1</v>
      </c>
      <c r="K29" s="6">
        <v>1</v>
      </c>
      <c r="L29" s="6">
        <v>20</v>
      </c>
      <c r="N29" s="16">
        <f t="shared" si="2"/>
        <v>1</v>
      </c>
    </row>
    <row r="30" spans="1:14" x14ac:dyDescent="0.15">
      <c r="A30" s="8">
        <v>10</v>
      </c>
      <c r="B30" s="8">
        <v>1</v>
      </c>
      <c r="C30" s="8">
        <v>26</v>
      </c>
      <c r="D30" s="8">
        <v>1</v>
      </c>
      <c r="E30" s="8">
        <f t="shared" ref="E30:E32" si="3">A30*(2^B30)*C30*D30</f>
        <v>520</v>
      </c>
      <c r="J30" s="6">
        <v>1</v>
      </c>
      <c r="K30" s="6">
        <v>1.25</v>
      </c>
      <c r="L30" s="6">
        <v>25</v>
      </c>
      <c r="N30" s="16">
        <f t="shared" si="2"/>
        <v>0.8</v>
      </c>
    </row>
    <row r="31" spans="1:14" x14ac:dyDescent="0.15">
      <c r="A31" s="8">
        <v>20</v>
      </c>
      <c r="B31" s="8">
        <v>2</v>
      </c>
      <c r="C31" s="8">
        <v>62</v>
      </c>
      <c r="D31" s="8">
        <v>2</v>
      </c>
      <c r="E31" s="8">
        <f t="shared" si="3"/>
        <v>9920</v>
      </c>
      <c r="J31" s="6">
        <v>1</v>
      </c>
      <c r="K31" s="6">
        <v>1.5</v>
      </c>
      <c r="L31" s="6">
        <v>30</v>
      </c>
      <c r="N31" s="16">
        <f t="shared" si="2"/>
        <v>0.66666666666666663</v>
      </c>
    </row>
    <row r="32" spans="1:14" x14ac:dyDescent="0.15">
      <c r="A32" s="8">
        <v>80</v>
      </c>
      <c r="B32" s="8">
        <v>4</v>
      </c>
      <c r="C32" s="8">
        <v>110</v>
      </c>
      <c r="D32" s="8">
        <v>8</v>
      </c>
      <c r="E32" s="8">
        <f t="shared" si="3"/>
        <v>1126400</v>
      </c>
      <c r="J32" s="6">
        <v>1</v>
      </c>
      <c r="K32" s="6">
        <v>1.75</v>
      </c>
      <c r="L32" s="6">
        <v>35</v>
      </c>
      <c r="N32" s="16">
        <f t="shared" si="2"/>
        <v>0.5714285714285714</v>
      </c>
    </row>
    <row r="33" spans="1:14" x14ac:dyDescent="0.15">
      <c r="E33" s="8"/>
      <c r="J33" s="6">
        <v>1</v>
      </c>
      <c r="K33" s="6">
        <v>2</v>
      </c>
      <c r="L33" s="6">
        <v>40</v>
      </c>
      <c r="N33" s="16">
        <f t="shared" si="2"/>
        <v>0.5</v>
      </c>
    </row>
    <row r="34" spans="1:14" x14ac:dyDescent="0.15">
      <c r="A34" s="7" t="s">
        <v>36</v>
      </c>
      <c r="B34" s="7" t="s">
        <v>39</v>
      </c>
      <c r="C34" s="7" t="s">
        <v>40</v>
      </c>
      <c r="D34" s="7" t="s">
        <v>41</v>
      </c>
      <c r="E34" s="7" t="s">
        <v>38</v>
      </c>
    </row>
    <row r="35" spans="1:14" x14ac:dyDescent="0.15">
      <c r="A35" s="8">
        <v>80</v>
      </c>
      <c r="B35" s="8">
        <v>256</v>
      </c>
      <c r="C35" s="8">
        <v>80</v>
      </c>
      <c r="D35" s="8">
        <v>80</v>
      </c>
      <c r="E35" s="8">
        <f>A35*B35*C35*D35</f>
        <v>131072000</v>
      </c>
    </row>
    <row r="37" spans="1:14" x14ac:dyDescent="0.15">
      <c r="A37" s="7" t="s">
        <v>42</v>
      </c>
      <c r="B37" s="7" t="s">
        <v>43</v>
      </c>
      <c r="C37" s="7" t="s">
        <v>44</v>
      </c>
      <c r="D37" s="7" t="s">
        <v>45</v>
      </c>
      <c r="E37" s="7" t="s">
        <v>46</v>
      </c>
      <c r="F37" s="7" t="s">
        <v>47</v>
      </c>
    </row>
    <row r="38" spans="1:14" x14ac:dyDescent="0.15">
      <c r="A38" s="8" t="s">
        <v>48</v>
      </c>
      <c r="B38" s="8" t="s">
        <v>49</v>
      </c>
      <c r="C38" s="8" t="s">
        <v>49</v>
      </c>
      <c r="D38" s="8">
        <v>10</v>
      </c>
      <c r="E38" s="8">
        <v>0</v>
      </c>
      <c r="F38" s="9" t="s">
        <v>50</v>
      </c>
    </row>
    <row r="39" spans="1:14" x14ac:dyDescent="0.15">
      <c r="A39" s="8" t="s">
        <v>51</v>
      </c>
      <c r="B39" s="18" t="s">
        <v>423</v>
      </c>
      <c r="C39" s="8" t="s">
        <v>52</v>
      </c>
      <c r="D39" s="8">
        <v>10</v>
      </c>
      <c r="E39" s="8">
        <v>1</v>
      </c>
      <c r="F39" s="9" t="s">
        <v>53</v>
      </c>
    </row>
    <row r="40" spans="1:14" x14ac:dyDescent="0.15">
      <c r="A40" s="8" t="s">
        <v>54</v>
      </c>
      <c r="B40" s="8" t="s">
        <v>55</v>
      </c>
      <c r="C40" s="8" t="s">
        <v>55</v>
      </c>
      <c r="D40" s="8">
        <v>15</v>
      </c>
      <c r="E40" s="8">
        <v>2</v>
      </c>
      <c r="F40" s="9" t="s">
        <v>56</v>
      </c>
    </row>
    <row r="42" spans="1:14" x14ac:dyDescent="0.15">
      <c r="A42" s="7" t="s">
        <v>57</v>
      </c>
      <c r="B42" s="7" t="s">
        <v>58</v>
      </c>
      <c r="E42" s="6" t="s">
        <v>836</v>
      </c>
      <c r="F42" s="6" t="s">
        <v>837</v>
      </c>
      <c r="G42" s="6" t="s">
        <v>836</v>
      </c>
      <c r="H42" s="6" t="s">
        <v>837</v>
      </c>
    </row>
    <row r="43" spans="1:14" x14ac:dyDescent="0.15">
      <c r="A43" s="8">
        <v>50</v>
      </c>
      <c r="B43" s="8">
        <v>20</v>
      </c>
      <c r="E43" s="6">
        <f>A43*20</f>
        <v>1000</v>
      </c>
      <c r="F43" s="6">
        <f>A43*100</f>
        <v>5000</v>
      </c>
      <c r="G43" s="6">
        <f>B43*20</f>
        <v>400</v>
      </c>
      <c r="H43" s="6">
        <f>B43*100</f>
        <v>2000</v>
      </c>
    </row>
    <row r="44" spans="1:14" x14ac:dyDescent="0.15">
      <c r="A44" s="8">
        <v>180</v>
      </c>
      <c r="B44" s="8">
        <v>50</v>
      </c>
      <c r="E44" s="6">
        <f t="shared" ref="E44:E50" si="4">A44*20</f>
        <v>3600</v>
      </c>
      <c r="F44" s="6">
        <f t="shared" ref="F44:F49" si="5">A44*100</f>
        <v>18000</v>
      </c>
      <c r="G44" s="6">
        <f t="shared" ref="G44:G50" si="6">B44*20</f>
        <v>1000</v>
      </c>
      <c r="H44" s="6">
        <f t="shared" ref="H44:H50" si="7">B44*100</f>
        <v>5000</v>
      </c>
    </row>
    <row r="45" spans="1:14" x14ac:dyDescent="0.15">
      <c r="A45" s="8">
        <v>500</v>
      </c>
      <c r="B45" s="8">
        <v>80</v>
      </c>
      <c r="E45" s="6">
        <f t="shared" si="4"/>
        <v>10000</v>
      </c>
      <c r="F45" s="6">
        <f t="shared" si="5"/>
        <v>50000</v>
      </c>
      <c r="G45" s="6">
        <f t="shared" si="6"/>
        <v>1600</v>
      </c>
      <c r="H45" s="6">
        <f t="shared" si="7"/>
        <v>8000</v>
      </c>
    </row>
    <row r="46" spans="1:14" x14ac:dyDescent="0.15">
      <c r="A46" s="8">
        <v>1000</v>
      </c>
      <c r="B46" s="8">
        <v>150</v>
      </c>
      <c r="E46" s="6">
        <f t="shared" si="4"/>
        <v>20000</v>
      </c>
      <c r="F46" s="6">
        <f t="shared" si="5"/>
        <v>100000</v>
      </c>
      <c r="G46" s="6">
        <f t="shared" si="6"/>
        <v>3000</v>
      </c>
      <c r="H46" s="6">
        <f t="shared" si="7"/>
        <v>15000</v>
      </c>
    </row>
    <row r="47" spans="1:14" x14ac:dyDescent="0.15">
      <c r="A47" s="8">
        <v>1600</v>
      </c>
      <c r="B47" s="8">
        <v>300</v>
      </c>
      <c r="E47" s="6">
        <f t="shared" si="4"/>
        <v>32000</v>
      </c>
      <c r="F47" s="6">
        <f t="shared" si="5"/>
        <v>160000</v>
      </c>
      <c r="G47" s="6">
        <f t="shared" si="6"/>
        <v>6000</v>
      </c>
      <c r="H47" s="6">
        <f t="shared" si="7"/>
        <v>30000</v>
      </c>
    </row>
    <row r="48" spans="1:14" x14ac:dyDescent="0.15">
      <c r="A48" s="8">
        <v>2400</v>
      </c>
      <c r="B48" s="8">
        <v>500</v>
      </c>
      <c r="E48" s="6">
        <f t="shared" si="4"/>
        <v>48000</v>
      </c>
      <c r="F48" s="6">
        <f t="shared" si="5"/>
        <v>240000</v>
      </c>
      <c r="G48" s="6">
        <f t="shared" si="6"/>
        <v>10000</v>
      </c>
      <c r="H48" s="6">
        <f t="shared" si="7"/>
        <v>50000</v>
      </c>
    </row>
    <row r="49" spans="1:8" x14ac:dyDescent="0.15">
      <c r="A49" s="8">
        <v>3500</v>
      </c>
      <c r="B49" s="8">
        <v>700</v>
      </c>
      <c r="E49" s="6">
        <f t="shared" si="4"/>
        <v>70000</v>
      </c>
      <c r="F49" s="6">
        <f t="shared" si="5"/>
        <v>350000</v>
      </c>
      <c r="G49" s="6">
        <f t="shared" si="6"/>
        <v>14000</v>
      </c>
      <c r="H49" s="6">
        <f t="shared" si="7"/>
        <v>70000</v>
      </c>
    </row>
    <row r="50" spans="1:8" x14ac:dyDescent="0.15">
      <c r="A50" s="8">
        <v>5000</v>
      </c>
      <c r="B50" s="8">
        <v>1000</v>
      </c>
      <c r="E50" s="6">
        <f t="shared" si="4"/>
        <v>100000</v>
      </c>
      <c r="F50" s="6">
        <f>A50*100</f>
        <v>500000</v>
      </c>
      <c r="G50" s="6">
        <f t="shared" si="6"/>
        <v>20000</v>
      </c>
      <c r="H50" s="6">
        <f t="shared" si="7"/>
        <v>100000</v>
      </c>
    </row>
    <row r="51" spans="1:8" x14ac:dyDescent="0.15">
      <c r="B51" s="8">
        <f>SUM(B43:B50)</f>
        <v>2800</v>
      </c>
      <c r="G51" s="6">
        <f>SUM(G43:G50)</f>
        <v>56000</v>
      </c>
      <c r="H51" s="6">
        <f>SUM(H43:H50)</f>
        <v>280000</v>
      </c>
    </row>
    <row r="52" spans="1:8" x14ac:dyDescent="0.15">
      <c r="A52" s="7" t="s">
        <v>59</v>
      </c>
    </row>
    <row r="53" spans="1:8" x14ac:dyDescent="0.15">
      <c r="A53" s="8">
        <v>1</v>
      </c>
      <c r="B53" s="6">
        <v>1</v>
      </c>
    </row>
    <row r="54" spans="1:8" x14ac:dyDescent="0.15">
      <c r="A54" s="8">
        <v>2</v>
      </c>
      <c r="B54" s="6">
        <v>3</v>
      </c>
    </row>
    <row r="55" spans="1:8" x14ac:dyDescent="0.15">
      <c r="A55" s="8">
        <v>3</v>
      </c>
      <c r="B55" s="6">
        <v>6</v>
      </c>
    </row>
    <row r="56" spans="1:8" x14ac:dyDescent="0.15">
      <c r="A56" s="8">
        <v>4</v>
      </c>
      <c r="B56" s="6">
        <v>10</v>
      </c>
    </row>
    <row r="57" spans="1:8" x14ac:dyDescent="0.15">
      <c r="A57" s="8">
        <v>5</v>
      </c>
      <c r="B57" s="6">
        <v>15</v>
      </c>
    </row>
    <row r="58" spans="1:8" x14ac:dyDescent="0.15">
      <c r="A58" s="8">
        <v>6</v>
      </c>
      <c r="B58" s="6">
        <v>21</v>
      </c>
    </row>
    <row r="59" spans="1:8" x14ac:dyDescent="0.15">
      <c r="A59" s="8">
        <v>7</v>
      </c>
      <c r="B59" s="6">
        <v>28</v>
      </c>
    </row>
    <row r="60" spans="1:8" x14ac:dyDescent="0.15">
      <c r="A60" s="8">
        <v>8</v>
      </c>
      <c r="B60" s="6">
        <v>36</v>
      </c>
    </row>
    <row r="61" spans="1:8" x14ac:dyDescent="0.15">
      <c r="A61" s="8">
        <v>9</v>
      </c>
      <c r="B61" s="6">
        <v>45</v>
      </c>
    </row>
    <row r="62" spans="1:8" x14ac:dyDescent="0.15">
      <c r="A62" s="8">
        <v>10</v>
      </c>
      <c r="B62" s="6">
        <v>55</v>
      </c>
    </row>
    <row r="63" spans="1:8" x14ac:dyDescent="0.15">
      <c r="A63" s="8">
        <v>11</v>
      </c>
      <c r="B63" s="6">
        <v>66</v>
      </c>
    </row>
    <row r="64" spans="1:8" x14ac:dyDescent="0.15">
      <c r="A64" s="8">
        <v>12</v>
      </c>
      <c r="B64" s="6">
        <v>78</v>
      </c>
    </row>
    <row r="65" spans="1:2" x14ac:dyDescent="0.15">
      <c r="A65" s="8">
        <v>13</v>
      </c>
      <c r="B65" s="6">
        <v>91</v>
      </c>
    </row>
    <row r="66" spans="1:2" x14ac:dyDescent="0.15">
      <c r="A66" s="8">
        <v>14</v>
      </c>
      <c r="B66" s="6">
        <v>105</v>
      </c>
    </row>
    <row r="67" spans="1:2" x14ac:dyDescent="0.15">
      <c r="A67" s="8">
        <v>15</v>
      </c>
      <c r="B67" s="6">
        <v>120</v>
      </c>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zoomScale="160" zoomScaleNormal="160" workbookViewId="0">
      <selection activeCell="G18" sqref="G18"/>
    </sheetView>
  </sheetViews>
  <sheetFormatPr defaultColWidth="9" defaultRowHeight="14.25" x14ac:dyDescent="0.15"/>
  <cols>
    <col min="1" max="4" width="9" style="6"/>
    <col min="5" max="5" width="13" style="9" customWidth="1"/>
    <col min="6" max="16384" width="9" style="6"/>
  </cols>
  <sheetData>
    <row r="1" spans="1:5" x14ac:dyDescent="0.15">
      <c r="A1" s="7" t="s">
        <v>60</v>
      </c>
      <c r="B1" s="7" t="s">
        <v>61</v>
      </c>
      <c r="C1" s="7" t="s">
        <v>62</v>
      </c>
      <c r="D1" s="7" t="s">
        <v>22</v>
      </c>
      <c r="E1" s="7" t="s">
        <v>23</v>
      </c>
    </row>
    <row r="2" spans="1:5" x14ac:dyDescent="0.15">
      <c r="A2" s="8">
        <v>1</v>
      </c>
      <c r="B2" s="8" t="s">
        <v>63</v>
      </c>
      <c r="C2" s="8">
        <v>1</v>
      </c>
      <c r="D2" s="8">
        <v>0</v>
      </c>
      <c r="E2" s="9" t="s">
        <v>64</v>
      </c>
    </row>
    <row r="3" spans="1:5" x14ac:dyDescent="0.15">
      <c r="A3" s="8">
        <v>2</v>
      </c>
      <c r="B3" s="8" t="s">
        <v>65</v>
      </c>
      <c r="C3" s="8">
        <v>1</v>
      </c>
      <c r="D3" s="8">
        <v>0</v>
      </c>
      <c r="E3" s="9" t="s">
        <v>66</v>
      </c>
    </row>
    <row r="4" spans="1:5" x14ac:dyDescent="0.15">
      <c r="A4" s="8">
        <v>3</v>
      </c>
      <c r="B4" s="8" t="s">
        <v>67</v>
      </c>
      <c r="C4" s="8">
        <v>1</v>
      </c>
      <c r="D4" s="8">
        <v>1</v>
      </c>
    </row>
    <row r="5" spans="1:5" x14ac:dyDescent="0.15">
      <c r="A5" s="8">
        <v>4</v>
      </c>
      <c r="B5" s="8" t="s">
        <v>68</v>
      </c>
      <c r="C5" s="8">
        <v>1</v>
      </c>
      <c r="D5" s="8">
        <v>2</v>
      </c>
    </row>
    <row r="6" spans="1:5" x14ac:dyDescent="0.15">
      <c r="A6" s="8">
        <v>5</v>
      </c>
      <c r="B6" s="8" t="s">
        <v>69</v>
      </c>
      <c r="C6" s="8">
        <v>1</v>
      </c>
      <c r="D6" s="8">
        <v>2</v>
      </c>
    </row>
    <row r="7" spans="1:5" x14ac:dyDescent="0.15">
      <c r="A7" s="8">
        <v>6</v>
      </c>
      <c r="B7" s="8" t="s">
        <v>70</v>
      </c>
      <c r="C7" s="8">
        <v>2</v>
      </c>
      <c r="D7" s="8">
        <v>2</v>
      </c>
    </row>
    <row r="8" spans="1:5" x14ac:dyDescent="0.15">
      <c r="A8" s="8">
        <v>7</v>
      </c>
      <c r="B8" s="8" t="s">
        <v>71</v>
      </c>
      <c r="C8" s="8">
        <v>2</v>
      </c>
      <c r="D8" s="8">
        <v>4</v>
      </c>
    </row>
    <row r="9" spans="1:5" x14ac:dyDescent="0.15">
      <c r="A9" s="8">
        <v>8</v>
      </c>
      <c r="B9" s="8" t="s">
        <v>72</v>
      </c>
      <c r="C9" s="8">
        <v>2</v>
      </c>
      <c r="D9" s="8">
        <v>4</v>
      </c>
    </row>
    <row r="10" spans="1:5" x14ac:dyDescent="0.15">
      <c r="A10" s="8">
        <v>9</v>
      </c>
      <c r="B10" s="8" t="s">
        <v>73</v>
      </c>
      <c r="C10" s="8">
        <v>2</v>
      </c>
      <c r="D10" s="8">
        <v>3</v>
      </c>
    </row>
    <row r="11" spans="1:5" x14ac:dyDescent="0.15">
      <c r="A11" s="8">
        <v>10</v>
      </c>
      <c r="B11" s="8" t="s">
        <v>74</v>
      </c>
      <c r="C11" s="8">
        <v>2</v>
      </c>
      <c r="D11" s="8">
        <v>5</v>
      </c>
    </row>
    <row r="12" spans="1:5" x14ac:dyDescent="0.15">
      <c r="A12" s="8">
        <v>11</v>
      </c>
      <c r="B12" s="8" t="s">
        <v>75</v>
      </c>
      <c r="C12" s="8">
        <v>2</v>
      </c>
      <c r="D12" s="8">
        <v>3</v>
      </c>
    </row>
    <row r="13" spans="1:5" x14ac:dyDescent="0.15">
      <c r="A13" s="8">
        <v>12</v>
      </c>
      <c r="B13" s="8" t="s">
        <v>76</v>
      </c>
      <c r="C13" s="8">
        <v>2</v>
      </c>
      <c r="D13" s="8">
        <v>5</v>
      </c>
    </row>
    <row r="14" spans="1:5" x14ac:dyDescent="0.15">
      <c r="A14" s="8">
        <v>13</v>
      </c>
      <c r="B14" s="8" t="s">
        <v>77</v>
      </c>
      <c r="C14" s="8">
        <v>3</v>
      </c>
      <c r="D14" s="8">
        <v>10</v>
      </c>
    </row>
    <row r="15" spans="1:5" x14ac:dyDescent="0.15">
      <c r="A15" s="8">
        <v>14</v>
      </c>
      <c r="B15" s="8" t="s">
        <v>78</v>
      </c>
      <c r="C15" s="8">
        <v>3</v>
      </c>
      <c r="D15" s="8">
        <v>16</v>
      </c>
    </row>
    <row r="16" spans="1:5" x14ac:dyDescent="0.15">
      <c r="A16" s="8">
        <v>15</v>
      </c>
      <c r="B16" s="8" t="s">
        <v>79</v>
      </c>
      <c r="C16" s="8">
        <v>3</v>
      </c>
      <c r="D16" s="8">
        <v>10</v>
      </c>
    </row>
    <row r="17" spans="1:5" x14ac:dyDescent="0.15">
      <c r="A17" s="8">
        <v>16</v>
      </c>
      <c r="B17" s="8" t="s">
        <v>80</v>
      </c>
      <c r="C17" s="8">
        <v>3</v>
      </c>
      <c r="D17" s="8">
        <v>24</v>
      </c>
    </row>
    <row r="18" spans="1:5" x14ac:dyDescent="0.15">
      <c r="A18" s="8">
        <v>17</v>
      </c>
      <c r="B18" s="8" t="s">
        <v>81</v>
      </c>
      <c r="C18" s="8">
        <v>3</v>
      </c>
      <c r="D18" s="8">
        <v>24</v>
      </c>
    </row>
    <row r="19" spans="1:5" x14ac:dyDescent="0.15">
      <c r="A19" s="8">
        <v>18</v>
      </c>
      <c r="B19" s="8" t="s">
        <v>82</v>
      </c>
      <c r="C19" s="8">
        <v>3</v>
      </c>
      <c r="D19" s="8">
        <v>6</v>
      </c>
    </row>
    <row r="20" spans="1:5" x14ac:dyDescent="0.15">
      <c r="A20" s="8">
        <v>19</v>
      </c>
      <c r="B20" s="8" t="s">
        <v>83</v>
      </c>
      <c r="C20" s="8">
        <v>3</v>
      </c>
      <c r="D20" s="8">
        <v>16</v>
      </c>
    </row>
    <row r="21" spans="1:5" x14ac:dyDescent="0.15">
      <c r="A21" s="8">
        <v>20</v>
      </c>
      <c r="B21" s="8" t="s">
        <v>84</v>
      </c>
      <c r="C21" s="8">
        <v>3</v>
      </c>
      <c r="D21" s="8">
        <v>12</v>
      </c>
    </row>
    <row r="22" spans="1:5" x14ac:dyDescent="0.15">
      <c r="A22" s="8">
        <v>21</v>
      </c>
      <c r="B22" s="8" t="s">
        <v>85</v>
      </c>
      <c r="C22" s="8">
        <v>3</v>
      </c>
      <c r="D22" s="8">
        <v>16</v>
      </c>
    </row>
    <row r="23" spans="1:5" x14ac:dyDescent="0.15">
      <c r="A23" s="8">
        <v>22</v>
      </c>
      <c r="B23" s="8" t="s">
        <v>86</v>
      </c>
      <c r="C23" s="8">
        <v>3</v>
      </c>
      <c r="D23" s="8">
        <v>12</v>
      </c>
    </row>
    <row r="24" spans="1:5" x14ac:dyDescent="0.15">
      <c r="A24" s="8">
        <v>23</v>
      </c>
      <c r="B24" s="8" t="s">
        <v>87</v>
      </c>
      <c r="C24" s="8">
        <v>3</v>
      </c>
      <c r="D24" s="8">
        <v>16</v>
      </c>
    </row>
    <row r="25" spans="1:5" x14ac:dyDescent="0.15">
      <c r="A25" s="8">
        <v>24</v>
      </c>
      <c r="B25" s="8" t="s">
        <v>88</v>
      </c>
      <c r="C25" s="8">
        <v>3</v>
      </c>
      <c r="D25" s="8">
        <v>18</v>
      </c>
    </row>
    <row r="26" spans="1:5" x14ac:dyDescent="0.15">
      <c r="A26" s="8">
        <v>25</v>
      </c>
      <c r="B26" s="8" t="s">
        <v>89</v>
      </c>
      <c r="C26" s="8">
        <v>3</v>
      </c>
      <c r="D26" s="8">
        <v>22</v>
      </c>
    </row>
    <row r="27" spans="1:5" x14ac:dyDescent="0.15">
      <c r="A27" s="8">
        <v>26</v>
      </c>
      <c r="B27" s="8" t="s">
        <v>90</v>
      </c>
      <c r="C27" s="8">
        <v>3</v>
      </c>
      <c r="D27" s="8">
        <v>22</v>
      </c>
    </row>
    <row r="28" spans="1:5" x14ac:dyDescent="0.15">
      <c r="A28" s="8">
        <v>27</v>
      </c>
      <c r="B28" s="8" t="s">
        <v>91</v>
      </c>
      <c r="C28" s="8">
        <v>3</v>
      </c>
      <c r="D28" s="8">
        <v>20</v>
      </c>
    </row>
    <row r="29" spans="1:5" x14ac:dyDescent="0.15">
      <c r="A29" s="8">
        <v>28</v>
      </c>
      <c r="B29" s="8" t="s">
        <v>92</v>
      </c>
      <c r="C29" s="8">
        <v>3</v>
      </c>
      <c r="D29" s="8">
        <v>14</v>
      </c>
    </row>
    <row r="30" spans="1:5" x14ac:dyDescent="0.15">
      <c r="A30" s="8">
        <v>29</v>
      </c>
      <c r="B30" s="8" t="s">
        <v>93</v>
      </c>
      <c r="C30" s="8">
        <v>3</v>
      </c>
      <c r="D30" s="8">
        <v>14</v>
      </c>
    </row>
    <row r="31" spans="1:5" x14ac:dyDescent="0.15">
      <c r="A31" s="8">
        <v>30</v>
      </c>
      <c r="B31" s="8" t="s">
        <v>94</v>
      </c>
      <c r="C31" s="8">
        <v>3</v>
      </c>
      <c r="D31" s="8">
        <v>16</v>
      </c>
    </row>
    <row r="32" spans="1:5" x14ac:dyDescent="0.15">
      <c r="A32" s="8">
        <v>31</v>
      </c>
      <c r="B32" s="8" t="s">
        <v>95</v>
      </c>
      <c r="C32" s="8" t="s">
        <v>96</v>
      </c>
      <c r="D32" s="8">
        <v>36</v>
      </c>
      <c r="E32" s="9" t="s">
        <v>97</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6"/>
  <sheetViews>
    <sheetView zoomScale="115" zoomScaleNormal="115" workbookViewId="0">
      <selection activeCell="E46" sqref="E46"/>
    </sheetView>
  </sheetViews>
  <sheetFormatPr defaultColWidth="9" defaultRowHeight="14.25" x14ac:dyDescent="0.15"/>
  <cols>
    <col min="1" max="1" width="9" style="8"/>
    <col min="2" max="2" width="14" style="8" customWidth="1"/>
    <col min="3" max="3" width="19.625" style="8" customWidth="1"/>
    <col min="4" max="4" width="9.25" style="8" customWidth="1"/>
    <col min="5" max="5" width="8.375" style="8" customWidth="1"/>
    <col min="6" max="6" width="79.375" style="8" customWidth="1"/>
    <col min="7" max="7" width="72.875" style="6" customWidth="1"/>
    <col min="8" max="8" width="9" style="6"/>
    <col min="9" max="13" width="9.875" style="6" customWidth="1"/>
    <col min="14" max="16384" width="9" style="6"/>
  </cols>
  <sheetData>
    <row r="1" spans="1:10" x14ac:dyDescent="0.15">
      <c r="A1" s="7" t="s">
        <v>60</v>
      </c>
      <c r="B1" s="7" t="s">
        <v>98</v>
      </c>
      <c r="C1" s="7" t="s">
        <v>99</v>
      </c>
      <c r="D1" s="26" t="s">
        <v>365</v>
      </c>
      <c r="E1" s="7" t="s">
        <v>100</v>
      </c>
      <c r="F1" s="26" t="s">
        <v>325</v>
      </c>
      <c r="G1" s="26" t="s">
        <v>324</v>
      </c>
    </row>
    <row r="2" spans="1:10" x14ac:dyDescent="0.15">
      <c r="A2" s="8">
        <v>1</v>
      </c>
      <c r="B2" s="8" t="s">
        <v>101</v>
      </c>
      <c r="C2" s="9" t="s">
        <v>102</v>
      </c>
      <c r="D2" s="8">
        <v>1</v>
      </c>
      <c r="E2" s="8">
        <v>500</v>
      </c>
      <c r="F2" s="17" t="s">
        <v>326</v>
      </c>
      <c r="G2" s="17" t="s">
        <v>292</v>
      </c>
      <c r="J2" s="17"/>
    </row>
    <row r="3" spans="1:10" x14ac:dyDescent="0.15">
      <c r="A3" s="8">
        <v>2</v>
      </c>
      <c r="B3" s="8" t="s">
        <v>103</v>
      </c>
      <c r="C3" s="9" t="s">
        <v>104</v>
      </c>
      <c r="D3" s="8">
        <v>1</v>
      </c>
      <c r="E3" s="8">
        <v>500</v>
      </c>
      <c r="F3" s="17" t="s">
        <v>367</v>
      </c>
      <c r="G3" s="17" t="s">
        <v>293</v>
      </c>
    </row>
    <row r="4" spans="1:10" x14ac:dyDescent="0.15">
      <c r="A4" s="8">
        <v>3</v>
      </c>
      <c r="B4" s="18" t="s">
        <v>356</v>
      </c>
      <c r="C4" s="19" t="s">
        <v>357</v>
      </c>
      <c r="D4" s="18"/>
      <c r="E4" s="8">
        <v>500</v>
      </c>
      <c r="F4" s="17" t="s">
        <v>370</v>
      </c>
      <c r="G4" s="17" t="s">
        <v>524</v>
      </c>
    </row>
    <row r="5" spans="1:10" x14ac:dyDescent="0.15">
      <c r="A5" s="8">
        <v>4</v>
      </c>
      <c r="B5" s="8" t="s">
        <v>105</v>
      </c>
      <c r="C5" s="9" t="s">
        <v>106</v>
      </c>
      <c r="E5" s="8">
        <v>500</v>
      </c>
      <c r="F5" s="17" t="s">
        <v>327</v>
      </c>
      <c r="G5" s="17" t="s">
        <v>294</v>
      </c>
    </row>
    <row r="6" spans="1:10" x14ac:dyDescent="0.15">
      <c r="A6" s="8">
        <v>5</v>
      </c>
      <c r="B6" s="8" t="s">
        <v>107</v>
      </c>
      <c r="C6" s="9" t="s">
        <v>108</v>
      </c>
      <c r="D6" s="8">
        <v>1</v>
      </c>
      <c r="E6" s="8">
        <v>500</v>
      </c>
      <c r="F6" s="17" t="s">
        <v>328</v>
      </c>
      <c r="G6" s="17" t="s">
        <v>296</v>
      </c>
    </row>
    <row r="7" spans="1:10" x14ac:dyDescent="0.15">
      <c r="A7" s="8">
        <v>6</v>
      </c>
      <c r="B7" s="8" t="s">
        <v>109</v>
      </c>
      <c r="C7" s="9" t="s">
        <v>110</v>
      </c>
      <c r="D7" s="8">
        <v>1</v>
      </c>
      <c r="E7" s="8">
        <v>500</v>
      </c>
      <c r="F7" s="17" t="s">
        <v>329</v>
      </c>
      <c r="G7" s="17" t="s">
        <v>297</v>
      </c>
      <c r="J7" s="17"/>
    </row>
    <row r="8" spans="1:10" x14ac:dyDescent="0.15">
      <c r="A8" s="8">
        <v>7</v>
      </c>
      <c r="B8" s="8" t="s">
        <v>111</v>
      </c>
      <c r="C8" s="9" t="s">
        <v>112</v>
      </c>
      <c r="E8" s="8">
        <v>500</v>
      </c>
      <c r="F8" s="17" t="s">
        <v>330</v>
      </c>
      <c r="G8" s="17" t="s">
        <v>298</v>
      </c>
    </row>
    <row r="9" spans="1:10" x14ac:dyDescent="0.15">
      <c r="A9" s="8">
        <v>8</v>
      </c>
      <c r="B9" s="8" t="s">
        <v>113</v>
      </c>
      <c r="C9" s="9" t="s">
        <v>114</v>
      </c>
      <c r="D9" s="8">
        <v>1</v>
      </c>
      <c r="E9" s="8">
        <v>500</v>
      </c>
      <c r="F9" s="6" t="s">
        <v>115</v>
      </c>
      <c r="G9" s="6" t="s">
        <v>115</v>
      </c>
    </row>
    <row r="10" spans="1:10" x14ac:dyDescent="0.15">
      <c r="A10" s="8">
        <v>9</v>
      </c>
      <c r="B10" s="18" t="s">
        <v>361</v>
      </c>
      <c r="C10" s="19" t="s">
        <v>360</v>
      </c>
      <c r="D10" s="18"/>
      <c r="E10" s="8">
        <v>500</v>
      </c>
      <c r="F10" s="17" t="s">
        <v>359</v>
      </c>
      <c r="G10" s="17" t="s">
        <v>359</v>
      </c>
    </row>
    <row r="11" spans="1:10" x14ac:dyDescent="0.15">
      <c r="A11" s="8">
        <v>10</v>
      </c>
      <c r="B11" s="8" t="s">
        <v>119</v>
      </c>
      <c r="C11" s="9" t="s">
        <v>120</v>
      </c>
      <c r="D11" s="8">
        <v>1</v>
      </c>
      <c r="E11" s="8">
        <v>500</v>
      </c>
      <c r="F11" s="17" t="s">
        <v>331</v>
      </c>
      <c r="G11" s="17" t="s">
        <v>299</v>
      </c>
    </row>
    <row r="12" spans="1:10" x14ac:dyDescent="0.15">
      <c r="A12" s="8">
        <v>11</v>
      </c>
      <c r="B12" s="8" t="s">
        <v>121</v>
      </c>
      <c r="C12" s="9" t="s">
        <v>122</v>
      </c>
      <c r="D12" s="8">
        <v>1</v>
      </c>
      <c r="E12" s="8">
        <v>500</v>
      </c>
      <c r="F12" s="17" t="s">
        <v>272</v>
      </c>
      <c r="G12" s="17" t="s">
        <v>272</v>
      </c>
    </row>
    <row r="13" spans="1:10" x14ac:dyDescent="0.15">
      <c r="A13" s="8">
        <v>12</v>
      </c>
      <c r="B13" s="8" t="s">
        <v>125</v>
      </c>
      <c r="C13" s="9" t="s">
        <v>126</v>
      </c>
      <c r="E13" s="8">
        <v>500</v>
      </c>
      <c r="F13" s="17" t="s">
        <v>274</v>
      </c>
      <c r="G13" s="17" t="s">
        <v>274</v>
      </c>
    </row>
    <row r="14" spans="1:10" x14ac:dyDescent="0.15">
      <c r="A14" s="8">
        <v>13</v>
      </c>
      <c r="B14" s="8" t="s">
        <v>131</v>
      </c>
      <c r="C14" s="9" t="s">
        <v>132</v>
      </c>
      <c r="D14" s="8">
        <v>1</v>
      </c>
      <c r="E14" s="8">
        <v>500</v>
      </c>
      <c r="F14" s="17" t="s">
        <v>277</v>
      </c>
      <c r="G14" s="17" t="s">
        <v>277</v>
      </c>
    </row>
    <row r="15" spans="1:10" x14ac:dyDescent="0.15">
      <c r="A15" s="8">
        <v>14</v>
      </c>
      <c r="B15" s="8" t="s">
        <v>123</v>
      </c>
      <c r="C15" s="9" t="s">
        <v>124</v>
      </c>
      <c r="E15" s="8">
        <v>500</v>
      </c>
      <c r="F15" s="17" t="s">
        <v>273</v>
      </c>
      <c r="G15" s="17" t="s">
        <v>273</v>
      </c>
    </row>
    <row r="16" spans="1:10" x14ac:dyDescent="0.15">
      <c r="A16" s="8">
        <v>15</v>
      </c>
      <c r="B16" s="8" t="s">
        <v>116</v>
      </c>
      <c r="C16" s="9" t="s">
        <v>117</v>
      </c>
      <c r="D16" s="8">
        <v>1</v>
      </c>
      <c r="E16" s="8">
        <v>500</v>
      </c>
      <c r="F16" s="6" t="s">
        <v>118</v>
      </c>
      <c r="G16" s="6" t="s">
        <v>118</v>
      </c>
    </row>
    <row r="17" spans="1:8" x14ac:dyDescent="0.15">
      <c r="A17" s="8">
        <v>16</v>
      </c>
      <c r="B17" s="18" t="s">
        <v>266</v>
      </c>
      <c r="C17" s="19" t="s">
        <v>267</v>
      </c>
      <c r="D17" s="18">
        <v>1</v>
      </c>
      <c r="E17" s="8">
        <v>500</v>
      </c>
      <c r="F17" s="17" t="s">
        <v>287</v>
      </c>
      <c r="G17" s="17" t="s">
        <v>287</v>
      </c>
    </row>
    <row r="18" spans="1:8" x14ac:dyDescent="0.15">
      <c r="A18" s="8">
        <v>17</v>
      </c>
      <c r="B18" s="8" t="s">
        <v>133</v>
      </c>
      <c r="C18" s="9" t="s">
        <v>134</v>
      </c>
      <c r="E18" s="8">
        <v>500</v>
      </c>
      <c r="F18" s="25" t="s">
        <v>369</v>
      </c>
      <c r="G18" s="17" t="s">
        <v>276</v>
      </c>
    </row>
    <row r="19" spans="1:8" x14ac:dyDescent="0.15">
      <c r="A19" s="8">
        <v>18</v>
      </c>
      <c r="B19" s="18" t="s">
        <v>264</v>
      </c>
      <c r="C19" s="19" t="s">
        <v>265</v>
      </c>
      <c r="D19" s="18"/>
      <c r="E19" s="8">
        <v>500</v>
      </c>
      <c r="F19" s="17" t="s">
        <v>278</v>
      </c>
      <c r="G19" s="17" t="s">
        <v>278</v>
      </c>
    </row>
    <row r="20" spans="1:8" x14ac:dyDescent="0.15">
      <c r="A20" s="8">
        <v>19</v>
      </c>
      <c r="B20" s="18" t="s">
        <v>334</v>
      </c>
      <c r="C20" s="19" t="s">
        <v>335</v>
      </c>
      <c r="D20" s="18">
        <v>1</v>
      </c>
      <c r="E20" s="8">
        <v>500</v>
      </c>
      <c r="F20" s="17" t="s">
        <v>336</v>
      </c>
      <c r="G20" s="17" t="s">
        <v>336</v>
      </c>
    </row>
    <row r="21" spans="1:8" x14ac:dyDescent="0.15">
      <c r="A21" s="8">
        <v>20</v>
      </c>
      <c r="B21" s="8" t="s">
        <v>135</v>
      </c>
      <c r="C21" s="9" t="s">
        <v>136</v>
      </c>
      <c r="E21" s="8">
        <v>500</v>
      </c>
      <c r="F21" s="25" t="s">
        <v>368</v>
      </c>
      <c r="G21" s="17" t="s">
        <v>300</v>
      </c>
      <c r="H21" s="17"/>
    </row>
    <row r="22" spans="1:8" x14ac:dyDescent="0.15">
      <c r="A22" s="8">
        <v>21</v>
      </c>
      <c r="B22" s="8" t="s">
        <v>127</v>
      </c>
      <c r="C22" s="9" t="s">
        <v>128</v>
      </c>
      <c r="D22" s="8">
        <v>1</v>
      </c>
      <c r="E22" s="8">
        <v>500</v>
      </c>
      <c r="F22" s="17" t="s">
        <v>542</v>
      </c>
      <c r="G22" s="17" t="s">
        <v>542</v>
      </c>
    </row>
    <row r="23" spans="1:8" x14ac:dyDescent="0.15">
      <c r="A23" s="8">
        <v>22</v>
      </c>
      <c r="B23" s="18" t="s">
        <v>366</v>
      </c>
      <c r="C23" s="9" t="s">
        <v>130</v>
      </c>
      <c r="E23" s="8">
        <v>500</v>
      </c>
      <c r="F23" s="17" t="s">
        <v>275</v>
      </c>
      <c r="G23" s="17" t="s">
        <v>275</v>
      </c>
    </row>
    <row r="24" spans="1:8" x14ac:dyDescent="0.15">
      <c r="A24" s="8">
        <v>23</v>
      </c>
      <c r="B24" s="18" t="s">
        <v>525</v>
      </c>
      <c r="C24" s="19" t="s">
        <v>526</v>
      </c>
      <c r="D24" s="18"/>
      <c r="E24" s="8">
        <v>500</v>
      </c>
      <c r="F24" s="17" t="s">
        <v>358</v>
      </c>
      <c r="G24" s="17" t="s">
        <v>358</v>
      </c>
    </row>
    <row r="25" spans="1:8" x14ac:dyDescent="0.15">
      <c r="A25" s="8">
        <v>24</v>
      </c>
      <c r="B25" s="18" t="s">
        <v>256</v>
      </c>
      <c r="C25" s="28" t="s">
        <v>129</v>
      </c>
      <c r="E25" s="8">
        <v>500</v>
      </c>
      <c r="F25" s="17" t="s">
        <v>282</v>
      </c>
      <c r="G25" s="17" t="s">
        <v>282</v>
      </c>
    </row>
    <row r="26" spans="1:8" s="2" customFormat="1" ht="15.75" x14ac:dyDescent="0.15">
      <c r="A26" s="10">
        <v>1</v>
      </c>
      <c r="B26" s="1" t="s">
        <v>137</v>
      </c>
      <c r="C26" s="9" t="s">
        <v>138</v>
      </c>
      <c r="D26" s="8">
        <v>1</v>
      </c>
      <c r="E26" s="8">
        <v>500</v>
      </c>
      <c r="F26" s="24" t="s">
        <v>332</v>
      </c>
      <c r="G26" s="24" t="s">
        <v>295</v>
      </c>
    </row>
    <row r="27" spans="1:8" ht="15.75" x14ac:dyDescent="0.15">
      <c r="A27" s="10">
        <v>2</v>
      </c>
      <c r="B27" s="8" t="s">
        <v>139</v>
      </c>
      <c r="C27" s="9" t="s">
        <v>140</v>
      </c>
      <c r="D27" s="8">
        <v>1</v>
      </c>
      <c r="E27" s="8">
        <v>500</v>
      </c>
      <c r="F27" s="24" t="s">
        <v>279</v>
      </c>
      <c r="G27" s="24" t="s">
        <v>279</v>
      </c>
    </row>
    <row r="28" spans="1:8" x14ac:dyDescent="0.15">
      <c r="A28" s="10">
        <v>3</v>
      </c>
      <c r="B28" s="8" t="s">
        <v>141</v>
      </c>
      <c r="C28" s="9" t="s">
        <v>142</v>
      </c>
      <c r="D28" s="8">
        <v>1</v>
      </c>
      <c r="E28" s="8">
        <v>500</v>
      </c>
      <c r="F28" s="17" t="s">
        <v>280</v>
      </c>
      <c r="G28" s="17" t="s">
        <v>280</v>
      </c>
    </row>
    <row r="29" spans="1:8" x14ac:dyDescent="0.15">
      <c r="A29" s="10">
        <v>4</v>
      </c>
      <c r="B29" s="8" t="s">
        <v>143</v>
      </c>
      <c r="C29" s="9" t="s">
        <v>144</v>
      </c>
      <c r="E29" s="8">
        <v>2000</v>
      </c>
      <c r="F29" s="17" t="s">
        <v>281</v>
      </c>
      <c r="G29" s="17" t="s">
        <v>281</v>
      </c>
    </row>
    <row r="30" spans="1:8" x14ac:dyDescent="0.15">
      <c r="A30" s="10">
        <v>5</v>
      </c>
      <c r="B30" s="18" t="s">
        <v>227</v>
      </c>
      <c r="C30" s="9" t="s">
        <v>145</v>
      </c>
      <c r="E30" s="8">
        <v>2000</v>
      </c>
      <c r="F30" s="25" t="s">
        <v>547</v>
      </c>
      <c r="G30" s="17" t="s">
        <v>547</v>
      </c>
    </row>
    <row r="31" spans="1:8" x14ac:dyDescent="0.15">
      <c r="A31" s="10">
        <v>6</v>
      </c>
      <c r="B31" s="8" t="s">
        <v>146</v>
      </c>
      <c r="C31" s="9" t="s">
        <v>147</v>
      </c>
      <c r="D31" s="8">
        <v>1</v>
      </c>
      <c r="E31" s="8">
        <v>2000</v>
      </c>
      <c r="F31" s="17" t="s">
        <v>283</v>
      </c>
      <c r="G31" s="17" t="s">
        <v>283</v>
      </c>
    </row>
    <row r="32" spans="1:8" x14ac:dyDescent="0.15">
      <c r="A32" s="10">
        <v>7</v>
      </c>
      <c r="B32" s="18" t="s">
        <v>228</v>
      </c>
      <c r="C32" s="9" t="s">
        <v>148</v>
      </c>
      <c r="D32" s="8">
        <v>1</v>
      </c>
      <c r="E32" s="8">
        <v>2000</v>
      </c>
      <c r="F32" s="17" t="s">
        <v>333</v>
      </c>
      <c r="G32" s="17" t="s">
        <v>301</v>
      </c>
    </row>
    <row r="33" spans="1:7" x14ac:dyDescent="0.15">
      <c r="A33" s="10">
        <v>8</v>
      </c>
      <c r="B33" s="8" t="s">
        <v>149</v>
      </c>
      <c r="C33" s="9" t="s">
        <v>150</v>
      </c>
      <c r="E33" s="8">
        <v>2000</v>
      </c>
      <c r="F33" s="17" t="s">
        <v>284</v>
      </c>
      <c r="G33" s="17" t="s">
        <v>284</v>
      </c>
    </row>
    <row r="34" spans="1:7" x14ac:dyDescent="0.15">
      <c r="A34" s="10">
        <v>9</v>
      </c>
      <c r="B34" s="18" t="s">
        <v>258</v>
      </c>
      <c r="C34" s="19" t="s">
        <v>257</v>
      </c>
      <c r="D34" s="18">
        <v>1</v>
      </c>
      <c r="E34" s="8">
        <v>2000</v>
      </c>
      <c r="F34" s="17" t="s">
        <v>285</v>
      </c>
      <c r="G34" s="17" t="s">
        <v>285</v>
      </c>
    </row>
    <row r="35" spans="1:7" x14ac:dyDescent="0.15">
      <c r="A35" s="10">
        <v>10</v>
      </c>
      <c r="B35" s="18" t="s">
        <v>337</v>
      </c>
      <c r="C35" s="19" t="s">
        <v>340</v>
      </c>
      <c r="D35" s="18"/>
      <c r="E35" s="8">
        <v>3000</v>
      </c>
      <c r="F35" s="19" t="s">
        <v>401</v>
      </c>
      <c r="G35" s="19" t="s">
        <v>401</v>
      </c>
    </row>
    <row r="36" spans="1:7" x14ac:dyDescent="0.15">
      <c r="A36" s="10">
        <v>11</v>
      </c>
      <c r="B36" s="18" t="s">
        <v>338</v>
      </c>
      <c r="C36" s="19" t="s">
        <v>341</v>
      </c>
      <c r="D36" s="18"/>
      <c r="E36" s="8">
        <v>3000</v>
      </c>
      <c r="F36" s="19" t="s">
        <v>402</v>
      </c>
      <c r="G36" s="19" t="s">
        <v>402</v>
      </c>
    </row>
    <row r="37" spans="1:7" x14ac:dyDescent="0.15">
      <c r="A37" s="10">
        <v>12</v>
      </c>
      <c r="B37" s="18" t="s">
        <v>339</v>
      </c>
      <c r="C37" s="19" t="s">
        <v>342</v>
      </c>
      <c r="D37" s="18"/>
      <c r="E37" s="8">
        <v>3000</v>
      </c>
      <c r="F37" s="19" t="s">
        <v>403</v>
      </c>
      <c r="G37" s="19" t="s">
        <v>403</v>
      </c>
    </row>
    <row r="38" spans="1:7" x14ac:dyDescent="0.15">
      <c r="A38" s="10">
        <v>13</v>
      </c>
      <c r="B38" s="8" t="s">
        <v>151</v>
      </c>
      <c r="C38" s="9" t="s">
        <v>152</v>
      </c>
      <c r="E38" s="8">
        <v>3000</v>
      </c>
      <c r="F38" s="17" t="s">
        <v>286</v>
      </c>
      <c r="G38" s="17" t="s">
        <v>286</v>
      </c>
    </row>
    <row r="39" spans="1:7" x14ac:dyDescent="0.15">
      <c r="A39" s="10">
        <v>14</v>
      </c>
      <c r="B39" s="8" t="s">
        <v>153</v>
      </c>
      <c r="C39" s="9" t="s">
        <v>154</v>
      </c>
      <c r="E39" s="8">
        <v>3000</v>
      </c>
      <c r="F39" s="17" t="s">
        <v>288</v>
      </c>
      <c r="G39" s="17" t="s">
        <v>288</v>
      </c>
    </row>
    <row r="40" spans="1:7" x14ac:dyDescent="0.15">
      <c r="A40" s="10">
        <v>15</v>
      </c>
      <c r="B40" s="18" t="s">
        <v>343</v>
      </c>
      <c r="C40" s="29" t="s">
        <v>344</v>
      </c>
      <c r="D40" s="18"/>
      <c r="E40" s="8">
        <v>80000</v>
      </c>
      <c r="F40" s="17" t="s">
        <v>364</v>
      </c>
      <c r="G40" s="17" t="s">
        <v>523</v>
      </c>
    </row>
    <row r="41" spans="1:7" x14ac:dyDescent="0.15">
      <c r="A41" s="10">
        <v>16</v>
      </c>
      <c r="B41" s="8" t="s">
        <v>155</v>
      </c>
      <c r="C41" s="28" t="s">
        <v>156</v>
      </c>
      <c r="E41" s="8">
        <v>120000</v>
      </c>
      <c r="F41" s="17" t="s">
        <v>363</v>
      </c>
      <c r="G41" s="17" t="s">
        <v>302</v>
      </c>
    </row>
    <row r="42" spans="1:7" x14ac:dyDescent="0.15">
      <c r="A42" s="6"/>
      <c r="B42" s="6"/>
      <c r="C42" s="6"/>
      <c r="E42" s="6"/>
      <c r="F42" s="6"/>
    </row>
    <row r="43" spans="1:7" x14ac:dyDescent="0.15">
      <c r="A43" s="6"/>
      <c r="B43" s="6"/>
      <c r="C43" s="6"/>
      <c r="E43" s="6"/>
      <c r="F43" s="6"/>
    </row>
    <row r="44" spans="1:7" x14ac:dyDescent="0.15">
      <c r="A44" s="6"/>
      <c r="B44" s="6"/>
      <c r="C44" s="6"/>
      <c r="E44" s="6"/>
      <c r="F44" s="6"/>
    </row>
    <row r="45" spans="1:7" x14ac:dyDescent="0.15">
      <c r="A45" s="6"/>
      <c r="B45" s="6"/>
      <c r="C45" s="6"/>
      <c r="E45" s="6"/>
      <c r="F45" s="6"/>
    </row>
    <row r="46" spans="1:7" x14ac:dyDescent="0.15">
      <c r="A46" s="6"/>
      <c r="B46" s="6"/>
      <c r="C46" s="6"/>
      <c r="E46" s="6"/>
      <c r="F46" s="6"/>
    </row>
    <row r="47" spans="1:7" x14ac:dyDescent="0.15">
      <c r="A47" s="6"/>
      <c r="B47" s="6"/>
      <c r="C47" s="6"/>
      <c r="E47" s="6"/>
      <c r="F47" s="6"/>
    </row>
    <row r="48" spans="1:7" x14ac:dyDescent="0.15">
      <c r="A48" s="6"/>
      <c r="B48" s="6"/>
      <c r="C48" s="6"/>
      <c r="E48" s="6"/>
      <c r="F48" s="6"/>
    </row>
    <row r="49" spans="1:7" x14ac:dyDescent="0.15">
      <c r="A49" s="6"/>
      <c r="B49" s="6"/>
      <c r="C49" s="6"/>
      <c r="E49" s="6"/>
      <c r="F49" s="6"/>
    </row>
    <row r="50" spans="1:7" x14ac:dyDescent="0.15">
      <c r="A50" s="6"/>
      <c r="B50" s="6"/>
      <c r="C50" s="6"/>
      <c r="E50" s="6"/>
      <c r="F50" s="6"/>
    </row>
    <row r="51" spans="1:7" x14ac:dyDescent="0.15">
      <c r="A51" s="6"/>
      <c r="B51" s="6"/>
      <c r="C51" s="6"/>
      <c r="E51" s="6"/>
      <c r="F51" s="6"/>
    </row>
    <row r="52" spans="1:7" x14ac:dyDescent="0.15">
      <c r="A52" s="6"/>
      <c r="B52" s="6"/>
      <c r="C52" s="6"/>
      <c r="E52" s="6"/>
      <c r="F52" s="6"/>
    </row>
    <row r="53" spans="1:7" x14ac:dyDescent="0.15">
      <c r="A53" s="6"/>
      <c r="B53" s="6"/>
      <c r="C53" s="6"/>
      <c r="E53" s="6"/>
      <c r="F53" s="6"/>
    </row>
    <row r="54" spans="1:7" x14ac:dyDescent="0.15">
      <c r="A54" s="6"/>
      <c r="B54" s="6"/>
      <c r="C54" s="6"/>
      <c r="E54" s="6"/>
      <c r="F54" s="6"/>
    </row>
    <row r="55" spans="1:7" x14ac:dyDescent="0.15">
      <c r="A55" s="6"/>
      <c r="B55" s="6"/>
      <c r="C55" s="6"/>
      <c r="E55" s="6"/>
      <c r="F55" s="6"/>
    </row>
    <row r="56" spans="1:7" x14ac:dyDescent="0.15">
      <c r="A56" s="6"/>
      <c r="B56" s="6"/>
      <c r="C56" s="6"/>
      <c r="E56" s="6"/>
      <c r="F56" s="6"/>
    </row>
    <row r="57" spans="1:7" x14ac:dyDescent="0.15">
      <c r="A57" s="6"/>
      <c r="B57" s="6"/>
      <c r="C57" s="6"/>
      <c r="E57" s="6"/>
      <c r="F57" s="6"/>
    </row>
    <row r="58" spans="1:7" x14ac:dyDescent="0.15">
      <c r="A58" s="6"/>
      <c r="B58" s="6"/>
      <c r="C58" s="6"/>
      <c r="E58" s="6"/>
      <c r="F58" s="6"/>
    </row>
    <row r="61" spans="1:7" x14ac:dyDescent="0.15">
      <c r="A61" s="6"/>
      <c r="B61" s="6"/>
      <c r="C61" s="6"/>
      <c r="E61" s="6"/>
      <c r="F61" s="6"/>
      <c r="G61" s="7"/>
    </row>
    <row r="62" spans="1:7" x14ac:dyDescent="0.15">
      <c r="A62" s="6"/>
      <c r="B62" s="6"/>
      <c r="C62" s="6"/>
      <c r="E62" s="6"/>
      <c r="F62" s="6"/>
    </row>
    <row r="63" spans="1:7" x14ac:dyDescent="0.15">
      <c r="A63" s="6"/>
      <c r="B63" s="6"/>
      <c r="C63" s="6"/>
      <c r="E63" s="6"/>
      <c r="F63" s="6"/>
    </row>
    <row r="64" spans="1:7" x14ac:dyDescent="0.15">
      <c r="A64" s="6"/>
      <c r="B64" s="6"/>
      <c r="C64" s="6"/>
      <c r="E64" s="6"/>
      <c r="F64" s="6"/>
    </row>
    <row r="65" spans="4:4" s="6" customFormat="1" x14ac:dyDescent="0.15">
      <c r="D65" s="8"/>
    </row>
    <row r="66" spans="4:4" s="6" customFormat="1" x14ac:dyDescent="0.15">
      <c r="D66" s="8"/>
    </row>
    <row r="67" spans="4:4" s="6" customFormat="1" x14ac:dyDescent="0.15">
      <c r="D67" s="8"/>
    </row>
    <row r="68" spans="4:4" s="6" customFormat="1" x14ac:dyDescent="0.15">
      <c r="D68" s="8"/>
    </row>
    <row r="69" spans="4:4" s="6" customFormat="1" x14ac:dyDescent="0.15">
      <c r="D69" s="8"/>
    </row>
    <row r="70" spans="4:4" s="6" customFormat="1" x14ac:dyDescent="0.15">
      <c r="D70" s="8"/>
    </row>
    <row r="71" spans="4:4" s="6" customFormat="1" x14ac:dyDescent="0.15">
      <c r="D71" s="8"/>
    </row>
    <row r="72" spans="4:4" s="6" customFormat="1" x14ac:dyDescent="0.15">
      <c r="D72" s="8"/>
    </row>
    <row r="73" spans="4:4" s="6" customFormat="1" x14ac:dyDescent="0.15">
      <c r="D73" s="8"/>
    </row>
    <row r="74" spans="4:4" s="6" customFormat="1" x14ac:dyDescent="0.15">
      <c r="D74" s="8"/>
    </row>
    <row r="75" spans="4:4" s="6" customFormat="1" x14ac:dyDescent="0.15">
      <c r="D75" s="8"/>
    </row>
    <row r="76" spans="4:4" s="6" customFormat="1" x14ac:dyDescent="0.15">
      <c r="D76" s="8"/>
    </row>
    <row r="77" spans="4:4" s="6" customFormat="1" x14ac:dyDescent="0.15">
      <c r="D77" s="8"/>
    </row>
    <row r="78" spans="4:4" s="6" customFormat="1" x14ac:dyDescent="0.15">
      <c r="D78" s="8"/>
    </row>
    <row r="79" spans="4:4" s="6" customFormat="1" x14ac:dyDescent="0.15">
      <c r="D79" s="8"/>
    </row>
    <row r="80" spans="4:4" s="6" customFormat="1" x14ac:dyDescent="0.15">
      <c r="D80" s="8"/>
    </row>
    <row r="81" spans="4:4" s="6" customFormat="1" x14ac:dyDescent="0.15">
      <c r="D81" s="8"/>
    </row>
    <row r="82" spans="4:4" s="6" customFormat="1" x14ac:dyDescent="0.15">
      <c r="D82" s="8"/>
    </row>
    <row r="83" spans="4:4" s="6" customFormat="1" x14ac:dyDescent="0.15">
      <c r="D83" s="8"/>
    </row>
    <row r="84" spans="4:4" s="6" customFormat="1" x14ac:dyDescent="0.15">
      <c r="D84" s="8"/>
    </row>
    <row r="85" spans="4:4" s="6" customFormat="1" x14ac:dyDescent="0.15">
      <c r="D85" s="8"/>
    </row>
    <row r="86" spans="4:4" s="6" customFormat="1" x14ac:dyDescent="0.15">
      <c r="D86" s="8"/>
    </row>
    <row r="87" spans="4:4" s="6" customFormat="1" x14ac:dyDescent="0.15">
      <c r="D87" s="8"/>
    </row>
    <row r="88" spans="4:4" s="6" customFormat="1" x14ac:dyDescent="0.15">
      <c r="D88" s="8"/>
    </row>
    <row r="89" spans="4:4" s="6" customFormat="1" x14ac:dyDescent="0.15">
      <c r="D89" s="8"/>
    </row>
    <row r="90" spans="4:4" s="6" customFormat="1" x14ac:dyDescent="0.15">
      <c r="D90" s="8"/>
    </row>
    <row r="91" spans="4:4" s="6" customFormat="1" x14ac:dyDescent="0.15">
      <c r="D91" s="8"/>
    </row>
    <row r="92" spans="4:4" s="6" customFormat="1" x14ac:dyDescent="0.15">
      <c r="D92" s="8"/>
    </row>
    <row r="94" spans="4:4" s="6" customFormat="1" x14ac:dyDescent="0.15">
      <c r="D94" s="8"/>
    </row>
    <row r="95" spans="4:4" s="6" customFormat="1" x14ac:dyDescent="0.15">
      <c r="D95" s="8"/>
    </row>
    <row r="96" spans="4:4" s="6" customFormat="1" x14ac:dyDescent="0.15">
      <c r="D96" s="8"/>
    </row>
    <row r="97" spans="4:4" s="6" customFormat="1" x14ac:dyDescent="0.15">
      <c r="D97" s="8"/>
    </row>
    <row r="98" spans="4:4" s="6" customFormat="1" x14ac:dyDescent="0.15">
      <c r="D98" s="8"/>
    </row>
    <row r="99" spans="4:4" s="6" customFormat="1" x14ac:dyDescent="0.15">
      <c r="D99" s="8"/>
    </row>
    <row r="100" spans="4:4" s="6" customFormat="1" x14ac:dyDescent="0.15">
      <c r="D100" s="8"/>
    </row>
    <row r="101" spans="4:4" s="6" customFormat="1" x14ac:dyDescent="0.15">
      <c r="D101" s="8"/>
    </row>
    <row r="102" spans="4:4" s="6" customFormat="1" x14ac:dyDescent="0.15">
      <c r="D102" s="8"/>
    </row>
    <row r="103" spans="4:4" s="6" customFormat="1" x14ac:dyDescent="0.15">
      <c r="D103" s="8"/>
    </row>
    <row r="104" spans="4:4" s="6" customFormat="1" x14ac:dyDescent="0.15">
      <c r="D104" s="8"/>
    </row>
    <row r="105" spans="4:4" s="6" customFormat="1" x14ac:dyDescent="0.15">
      <c r="D105" s="8"/>
    </row>
    <row r="106" spans="4:4" s="6" customFormat="1" x14ac:dyDescent="0.15">
      <c r="D106" s="8"/>
    </row>
    <row r="107" spans="4:4" s="6" customFormat="1" x14ac:dyDescent="0.15">
      <c r="D107" s="8"/>
    </row>
    <row r="108" spans="4:4" s="6" customFormat="1" x14ac:dyDescent="0.15">
      <c r="D108" s="8"/>
    </row>
    <row r="109" spans="4:4" s="6" customFormat="1" x14ac:dyDescent="0.15">
      <c r="D109" s="8"/>
    </row>
    <row r="110" spans="4:4" s="6" customFormat="1" x14ac:dyDescent="0.15">
      <c r="D110" s="8"/>
    </row>
    <row r="111" spans="4:4" s="6" customFormat="1" x14ac:dyDescent="0.15">
      <c r="D111" s="8"/>
    </row>
    <row r="112" spans="4:4" s="6" customFormat="1" x14ac:dyDescent="0.15">
      <c r="D112" s="8"/>
    </row>
    <row r="113" spans="4:4" s="6" customFormat="1" x14ac:dyDescent="0.15">
      <c r="D113" s="8"/>
    </row>
    <row r="114" spans="4:4" s="6" customFormat="1" x14ac:dyDescent="0.15">
      <c r="D114" s="8"/>
    </row>
    <row r="115" spans="4:4" s="6" customFormat="1" x14ac:dyDescent="0.15">
      <c r="D115" s="8"/>
    </row>
    <row r="116" spans="4:4" s="6" customFormat="1" x14ac:dyDescent="0.15">
      <c r="D116" s="8"/>
    </row>
    <row r="117" spans="4:4" s="6" customFormat="1" x14ac:dyDescent="0.15">
      <c r="D117" s="8"/>
    </row>
    <row r="118" spans="4:4" s="6" customFormat="1" x14ac:dyDescent="0.15">
      <c r="D118" s="8"/>
    </row>
    <row r="119" spans="4:4" s="6" customFormat="1" x14ac:dyDescent="0.15">
      <c r="D119" s="8"/>
    </row>
    <row r="120" spans="4:4" s="6" customFormat="1" x14ac:dyDescent="0.15">
      <c r="D120" s="8"/>
    </row>
    <row r="121" spans="4:4" s="6" customFormat="1" x14ac:dyDescent="0.15">
      <c r="D121" s="8"/>
    </row>
    <row r="122" spans="4:4" s="6" customFormat="1" x14ac:dyDescent="0.15">
      <c r="D122" s="8"/>
    </row>
    <row r="123" spans="4:4" s="6" customFormat="1" x14ac:dyDescent="0.15">
      <c r="D123" s="8"/>
    </row>
    <row r="124" spans="4:4" s="6" customFormat="1" x14ac:dyDescent="0.15">
      <c r="D124" s="8"/>
    </row>
    <row r="125" spans="4:4" s="6" customFormat="1" x14ac:dyDescent="0.15">
      <c r="D125" s="8"/>
    </row>
    <row r="126" spans="4:4" s="6" customFormat="1" x14ac:dyDescent="0.15">
      <c r="D126" s="8"/>
    </row>
  </sheetData>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72"/>
  <sheetViews>
    <sheetView zoomScaleNormal="100" workbookViewId="0">
      <selection activeCell="E25" activeCellId="2" sqref="E14:E15 E19:E20 E25:E41"/>
    </sheetView>
  </sheetViews>
  <sheetFormatPr defaultColWidth="9" defaultRowHeight="14.25" x14ac:dyDescent="0.15"/>
  <cols>
    <col min="1" max="1" width="9" style="6"/>
    <col min="2" max="2" width="14.25" style="6" customWidth="1"/>
    <col min="3" max="3" width="19.25" style="8" bestFit="1" customWidth="1"/>
    <col min="4" max="4" width="19.25" style="8" customWidth="1"/>
    <col min="5" max="5" width="10.125" style="6" customWidth="1"/>
    <col min="6" max="6" width="82.75" style="6" customWidth="1"/>
    <col min="7" max="7" width="102.875" style="6" bestFit="1" customWidth="1"/>
    <col min="8" max="13" width="9" style="6"/>
    <col min="14" max="14" width="34.5" style="6" bestFit="1" customWidth="1"/>
    <col min="15" max="16384" width="9" style="6"/>
  </cols>
  <sheetData>
    <row r="1" spans="1:14" x14ac:dyDescent="0.15">
      <c r="A1" s="7" t="s">
        <v>60</v>
      </c>
      <c r="B1" s="7" t="s">
        <v>157</v>
      </c>
      <c r="C1" s="7" t="s">
        <v>158</v>
      </c>
      <c r="D1" s="26" t="s">
        <v>395</v>
      </c>
      <c r="E1" s="7" t="s">
        <v>100</v>
      </c>
      <c r="F1" s="26" t="s">
        <v>371</v>
      </c>
      <c r="G1" s="26" t="s">
        <v>372</v>
      </c>
    </row>
    <row r="2" spans="1:14" x14ac:dyDescent="0.15">
      <c r="A2" s="8">
        <v>1</v>
      </c>
      <c r="B2" s="9" t="s">
        <v>159</v>
      </c>
      <c r="C2" s="8" t="s">
        <v>160</v>
      </c>
      <c r="D2" s="8">
        <v>1</v>
      </c>
      <c r="E2" s="8">
        <v>5000</v>
      </c>
      <c r="F2" s="17" t="s">
        <v>400</v>
      </c>
      <c r="G2" s="17" t="s">
        <v>536</v>
      </c>
      <c r="M2" s="17"/>
    </row>
    <row r="3" spans="1:14" x14ac:dyDescent="0.15">
      <c r="A3" s="8">
        <v>2</v>
      </c>
      <c r="B3" s="19" t="s">
        <v>231</v>
      </c>
      <c r="C3" s="8" t="s">
        <v>183</v>
      </c>
      <c r="D3" s="8">
        <v>1</v>
      </c>
      <c r="E3" s="8">
        <v>5000</v>
      </c>
      <c r="F3" s="17" t="s">
        <v>533</v>
      </c>
      <c r="G3" s="17" t="s">
        <v>534</v>
      </c>
    </row>
    <row r="4" spans="1:14" x14ac:dyDescent="0.15">
      <c r="A4" s="8">
        <v>3</v>
      </c>
      <c r="B4" s="17" t="s">
        <v>237</v>
      </c>
      <c r="C4" s="18" t="s">
        <v>248</v>
      </c>
      <c r="D4" s="8">
        <v>1</v>
      </c>
      <c r="E4" s="8">
        <v>5000</v>
      </c>
      <c r="F4" s="17" t="s">
        <v>539</v>
      </c>
      <c r="G4" s="17" t="s">
        <v>539</v>
      </c>
    </row>
    <row r="5" spans="1:14" x14ac:dyDescent="0.15">
      <c r="A5" s="8">
        <v>4</v>
      </c>
      <c r="B5" s="9" t="s">
        <v>171</v>
      </c>
      <c r="C5" s="8" t="s">
        <v>172</v>
      </c>
      <c r="D5" s="8">
        <v>1</v>
      </c>
      <c r="E5" s="8">
        <v>5000</v>
      </c>
      <c r="F5" s="17" t="s">
        <v>387</v>
      </c>
      <c r="G5" s="17" t="s">
        <v>312</v>
      </c>
    </row>
    <row r="6" spans="1:14" x14ac:dyDescent="0.15">
      <c r="A6" s="8">
        <v>5</v>
      </c>
      <c r="B6" s="19" t="s">
        <v>230</v>
      </c>
      <c r="C6" s="8" t="s">
        <v>180</v>
      </c>
      <c r="D6" s="8">
        <v>1</v>
      </c>
      <c r="E6" s="8">
        <v>5000</v>
      </c>
      <c r="F6" s="17" t="s">
        <v>385</v>
      </c>
      <c r="G6" s="17" t="s">
        <v>313</v>
      </c>
    </row>
    <row r="7" spans="1:14" x14ac:dyDescent="0.15">
      <c r="A7" s="8">
        <v>6</v>
      </c>
      <c r="B7" s="9" t="s">
        <v>178</v>
      </c>
      <c r="C7" s="8" t="s">
        <v>179</v>
      </c>
      <c r="D7" s="8">
        <v>1</v>
      </c>
      <c r="E7" s="8">
        <v>5000</v>
      </c>
      <c r="F7" s="17" t="s">
        <v>546</v>
      </c>
      <c r="G7" s="17" t="s">
        <v>545</v>
      </c>
    </row>
    <row r="8" spans="1:14" x14ac:dyDescent="0.15">
      <c r="A8" s="8">
        <v>7</v>
      </c>
      <c r="B8" s="9" t="s">
        <v>184</v>
      </c>
      <c r="C8" s="8" t="s">
        <v>185</v>
      </c>
      <c r="D8" s="8">
        <v>1</v>
      </c>
      <c r="E8" s="8">
        <v>5000</v>
      </c>
      <c r="F8" s="17" t="s">
        <v>383</v>
      </c>
      <c r="G8" s="17" t="s">
        <v>315</v>
      </c>
    </row>
    <row r="9" spans="1:14" x14ac:dyDescent="0.15">
      <c r="A9" s="8">
        <v>8</v>
      </c>
      <c r="B9" s="9" t="s">
        <v>176</v>
      </c>
      <c r="C9" s="8" t="s">
        <v>177</v>
      </c>
      <c r="D9" s="8">
        <v>1</v>
      </c>
      <c r="E9" s="8">
        <v>5000</v>
      </c>
      <c r="F9" s="17" t="s">
        <v>543</v>
      </c>
      <c r="G9" s="17" t="s">
        <v>543</v>
      </c>
    </row>
    <row r="10" spans="1:14" x14ac:dyDescent="0.15">
      <c r="A10" s="8">
        <v>9</v>
      </c>
      <c r="B10" s="9" t="s">
        <v>161</v>
      </c>
      <c r="C10" s="8" t="s">
        <v>162</v>
      </c>
      <c r="D10" s="8">
        <v>1</v>
      </c>
      <c r="E10" s="8">
        <v>5000</v>
      </c>
      <c r="F10" s="17" t="s">
        <v>399</v>
      </c>
      <c r="G10" s="17" t="s">
        <v>303</v>
      </c>
      <c r="M10" s="17"/>
    </row>
    <row r="11" spans="1:14" x14ac:dyDescent="0.15">
      <c r="A11" s="8">
        <v>10</v>
      </c>
      <c r="B11" s="6" t="s">
        <v>163</v>
      </c>
      <c r="C11" s="8" t="s">
        <v>164</v>
      </c>
      <c r="E11" s="8">
        <v>5000</v>
      </c>
      <c r="F11" s="17" t="s">
        <v>398</v>
      </c>
      <c r="G11" s="17" t="s">
        <v>304</v>
      </c>
      <c r="L11" s="17"/>
      <c r="M11" s="17"/>
      <c r="N11" s="17"/>
    </row>
    <row r="12" spans="1:14" x14ac:dyDescent="0.15">
      <c r="A12" s="8">
        <v>11</v>
      </c>
      <c r="B12" s="17" t="s">
        <v>347</v>
      </c>
      <c r="C12" s="30" t="s">
        <v>393</v>
      </c>
      <c r="D12" s="8">
        <v>1</v>
      </c>
      <c r="E12" s="8">
        <v>5000</v>
      </c>
      <c r="F12" s="17" t="s">
        <v>348</v>
      </c>
      <c r="G12" s="17" t="s">
        <v>535</v>
      </c>
    </row>
    <row r="13" spans="1:14" x14ac:dyDescent="0.15">
      <c r="A13" s="8">
        <v>12</v>
      </c>
      <c r="B13" s="17" t="s">
        <v>410</v>
      </c>
      <c r="C13" s="30" t="s">
        <v>411</v>
      </c>
      <c r="D13" s="8">
        <v>1</v>
      </c>
      <c r="E13" s="8">
        <v>5000</v>
      </c>
      <c r="F13" s="17" t="s">
        <v>409</v>
      </c>
      <c r="G13" s="17" t="s">
        <v>537</v>
      </c>
    </row>
    <row r="14" spans="1:14" x14ac:dyDescent="0.15">
      <c r="A14" s="8">
        <v>13</v>
      </c>
      <c r="B14" s="17" t="s">
        <v>349</v>
      </c>
      <c r="C14" s="30" t="s">
        <v>396</v>
      </c>
      <c r="E14" s="8">
        <v>5000</v>
      </c>
      <c r="F14" s="17" t="s">
        <v>351</v>
      </c>
      <c r="G14" s="17" t="s">
        <v>538</v>
      </c>
    </row>
    <row r="15" spans="1:14" x14ac:dyDescent="0.15">
      <c r="A15" s="8">
        <v>14</v>
      </c>
      <c r="B15" s="9" t="s">
        <v>169</v>
      </c>
      <c r="C15" s="8" t="s">
        <v>170</v>
      </c>
      <c r="E15" s="8">
        <v>5000</v>
      </c>
      <c r="F15" s="17" t="s">
        <v>388</v>
      </c>
      <c r="G15" s="17" t="s">
        <v>305</v>
      </c>
    </row>
    <row r="16" spans="1:14" x14ac:dyDescent="0.15">
      <c r="A16" s="8">
        <v>15</v>
      </c>
      <c r="B16" s="9" t="s">
        <v>167</v>
      </c>
      <c r="C16" s="18" t="s">
        <v>270</v>
      </c>
      <c r="D16" s="8">
        <v>1</v>
      </c>
      <c r="E16" s="8">
        <v>5000</v>
      </c>
      <c r="F16" s="17" t="s">
        <v>289</v>
      </c>
      <c r="G16" s="17" t="s">
        <v>540</v>
      </c>
      <c r="H16" s="17"/>
    </row>
    <row r="17" spans="1:13" x14ac:dyDescent="0.15">
      <c r="A17" s="8">
        <v>16</v>
      </c>
      <c r="B17" s="19" t="s">
        <v>263</v>
      </c>
      <c r="C17" s="8" t="s">
        <v>166</v>
      </c>
      <c r="D17" s="8">
        <v>1</v>
      </c>
      <c r="E17" s="8">
        <v>5000</v>
      </c>
      <c r="F17" s="17" t="s">
        <v>389</v>
      </c>
      <c r="G17" s="17" t="s">
        <v>310</v>
      </c>
    </row>
    <row r="18" spans="1:13" x14ac:dyDescent="0.15">
      <c r="A18" s="8">
        <v>17</v>
      </c>
      <c r="B18" s="6" t="s">
        <v>191</v>
      </c>
      <c r="C18" s="30" t="s">
        <v>252</v>
      </c>
      <c r="D18" s="8">
        <v>1</v>
      </c>
      <c r="E18" s="8">
        <v>5000</v>
      </c>
      <c r="F18" s="17" t="s">
        <v>375</v>
      </c>
      <c r="G18" s="17" t="s">
        <v>544</v>
      </c>
    </row>
    <row r="19" spans="1:13" x14ac:dyDescent="0.15">
      <c r="A19" s="8">
        <v>18</v>
      </c>
      <c r="B19" s="19" t="s">
        <v>259</v>
      </c>
      <c r="C19" s="8" t="s">
        <v>165</v>
      </c>
      <c r="E19" s="8">
        <v>5000</v>
      </c>
      <c r="F19" s="17" t="s">
        <v>397</v>
      </c>
      <c r="G19" s="17" t="s">
        <v>309</v>
      </c>
      <c r="H19" s="17"/>
      <c r="M19" s="17"/>
    </row>
    <row r="20" spans="1:13" x14ac:dyDescent="0.15">
      <c r="A20" s="8">
        <v>19</v>
      </c>
      <c r="B20" s="17" t="s">
        <v>232</v>
      </c>
      <c r="C20" s="30" t="s">
        <v>243</v>
      </c>
      <c r="E20" s="8">
        <v>5000</v>
      </c>
      <c r="F20" s="17" t="s">
        <v>290</v>
      </c>
      <c r="G20" s="17" t="s">
        <v>290</v>
      </c>
    </row>
    <row r="21" spans="1:13" x14ac:dyDescent="0.15">
      <c r="A21" s="8">
        <v>20</v>
      </c>
      <c r="B21" s="17" t="s">
        <v>261</v>
      </c>
      <c r="C21" s="30" t="s">
        <v>244</v>
      </c>
      <c r="D21" s="8">
        <v>1</v>
      </c>
      <c r="E21" s="8">
        <v>5000</v>
      </c>
      <c r="F21" s="17" t="s">
        <v>323</v>
      </c>
      <c r="G21" s="17" t="s">
        <v>323</v>
      </c>
    </row>
    <row r="22" spans="1:13" x14ac:dyDescent="0.15">
      <c r="A22" s="8">
        <v>21</v>
      </c>
      <c r="B22" s="17" t="s">
        <v>236</v>
      </c>
      <c r="C22" s="18" t="s">
        <v>247</v>
      </c>
      <c r="D22" s="8">
        <v>1</v>
      </c>
      <c r="E22" s="8">
        <v>5000</v>
      </c>
      <c r="F22" s="17" t="s">
        <v>378</v>
      </c>
      <c r="G22" s="17" t="s">
        <v>308</v>
      </c>
    </row>
    <row r="23" spans="1:13" x14ac:dyDescent="0.15">
      <c r="A23" s="8">
        <v>22</v>
      </c>
      <c r="B23" s="17" t="s">
        <v>352</v>
      </c>
      <c r="C23" s="30" t="s">
        <v>391</v>
      </c>
      <c r="D23" s="8">
        <v>1</v>
      </c>
      <c r="E23" s="8">
        <v>5000</v>
      </c>
      <c r="F23" s="17" t="s">
        <v>404</v>
      </c>
      <c r="G23" s="17" t="s">
        <v>532</v>
      </c>
    </row>
    <row r="24" spans="1:13" x14ac:dyDescent="0.15">
      <c r="A24" s="8">
        <v>23</v>
      </c>
      <c r="B24" s="9" t="s">
        <v>186</v>
      </c>
      <c r="C24" s="8" t="s">
        <v>187</v>
      </c>
      <c r="D24" s="8">
        <v>1</v>
      </c>
      <c r="E24" s="8">
        <v>5000</v>
      </c>
      <c r="F24" s="17" t="s">
        <v>382</v>
      </c>
      <c r="G24" s="17" t="s">
        <v>316</v>
      </c>
    </row>
    <row r="25" spans="1:13" x14ac:dyDescent="0.15">
      <c r="A25" s="8">
        <v>24</v>
      </c>
      <c r="B25" s="19" t="s">
        <v>229</v>
      </c>
      <c r="C25" s="8" t="s">
        <v>173</v>
      </c>
      <c r="E25" s="8">
        <v>5000</v>
      </c>
      <c r="F25" s="17" t="s">
        <v>386</v>
      </c>
      <c r="G25" s="17" t="s">
        <v>306</v>
      </c>
    </row>
    <row r="26" spans="1:13" x14ac:dyDescent="0.15">
      <c r="A26" s="8">
        <v>25</v>
      </c>
      <c r="B26" s="17" t="s">
        <v>238</v>
      </c>
      <c r="C26" s="18" t="s">
        <v>249</v>
      </c>
      <c r="E26" s="8">
        <v>5000</v>
      </c>
      <c r="F26" s="17" t="s">
        <v>377</v>
      </c>
      <c r="G26" s="17" t="s">
        <v>307</v>
      </c>
    </row>
    <row r="27" spans="1:13" x14ac:dyDescent="0.15">
      <c r="A27" s="8">
        <v>26</v>
      </c>
      <c r="B27" s="17" t="s">
        <v>354</v>
      </c>
      <c r="C27" s="30" t="s">
        <v>394</v>
      </c>
      <c r="E27" s="8">
        <v>5000</v>
      </c>
      <c r="F27" s="17" t="s">
        <v>405</v>
      </c>
      <c r="G27" s="17" t="s">
        <v>531</v>
      </c>
    </row>
    <row r="28" spans="1:13" x14ac:dyDescent="0.15">
      <c r="A28" s="8">
        <v>27</v>
      </c>
      <c r="B28" s="17" t="s">
        <v>233</v>
      </c>
      <c r="C28" s="30" t="s">
        <v>245</v>
      </c>
      <c r="E28" s="8">
        <v>5000</v>
      </c>
      <c r="F28" s="17" t="s">
        <v>381</v>
      </c>
      <c r="G28" s="17" t="s">
        <v>317</v>
      </c>
    </row>
    <row r="29" spans="1:13" x14ac:dyDescent="0.15">
      <c r="A29" s="8">
        <v>28</v>
      </c>
      <c r="B29" s="9" t="s">
        <v>181</v>
      </c>
      <c r="C29" s="8" t="s">
        <v>182</v>
      </c>
      <c r="E29" s="8">
        <v>5000</v>
      </c>
      <c r="F29" s="17" t="s">
        <v>384</v>
      </c>
      <c r="G29" s="17" t="s">
        <v>314</v>
      </c>
    </row>
    <row r="30" spans="1:13" x14ac:dyDescent="0.15">
      <c r="A30" s="8">
        <v>29</v>
      </c>
      <c r="B30" s="17" t="s">
        <v>260</v>
      </c>
      <c r="C30" s="30" t="s">
        <v>246</v>
      </c>
      <c r="E30" s="8">
        <v>5000</v>
      </c>
      <c r="F30" s="17" t="s">
        <v>380</v>
      </c>
      <c r="G30" s="17" t="s">
        <v>318</v>
      </c>
    </row>
    <row r="31" spans="1:13" x14ac:dyDescent="0.15">
      <c r="A31" s="8">
        <v>30</v>
      </c>
      <c r="B31" s="9" t="s">
        <v>168</v>
      </c>
      <c r="C31" s="8" t="s">
        <v>242</v>
      </c>
      <c r="E31" s="8">
        <v>5000</v>
      </c>
      <c r="F31" s="17" t="s">
        <v>390</v>
      </c>
      <c r="G31" s="17" t="s">
        <v>311</v>
      </c>
    </row>
    <row r="32" spans="1:13" x14ac:dyDescent="0.15">
      <c r="A32" s="8">
        <v>31</v>
      </c>
      <c r="B32" s="9" t="s">
        <v>174</v>
      </c>
      <c r="C32" s="8" t="s">
        <v>175</v>
      </c>
      <c r="E32" s="8">
        <v>5000</v>
      </c>
      <c r="F32" s="17" t="s">
        <v>529</v>
      </c>
      <c r="G32" s="17" t="s">
        <v>530</v>
      </c>
    </row>
    <row r="33" spans="1:7" x14ac:dyDescent="0.15">
      <c r="A33" s="8">
        <v>32</v>
      </c>
      <c r="B33" s="6" t="s">
        <v>322</v>
      </c>
      <c r="C33" s="18" t="s">
        <v>255</v>
      </c>
      <c r="E33" s="8">
        <v>5000</v>
      </c>
      <c r="F33" s="17" t="s">
        <v>373</v>
      </c>
      <c r="G33" s="17" t="s">
        <v>353</v>
      </c>
    </row>
    <row r="34" spans="1:7" x14ac:dyDescent="0.15">
      <c r="A34" s="8">
        <v>33</v>
      </c>
      <c r="B34" s="17" t="s">
        <v>406</v>
      </c>
      <c r="C34" s="30" t="s">
        <v>407</v>
      </c>
      <c r="E34" s="8">
        <v>5000</v>
      </c>
      <c r="F34" s="17" t="s">
        <v>408</v>
      </c>
      <c r="G34" s="17" t="s">
        <v>528</v>
      </c>
    </row>
    <row r="35" spans="1:7" x14ac:dyDescent="0.15">
      <c r="A35" s="8">
        <v>34</v>
      </c>
      <c r="B35" s="17" t="s">
        <v>239</v>
      </c>
      <c r="C35" s="30" t="s">
        <v>254</v>
      </c>
      <c r="E35" s="8">
        <v>5000</v>
      </c>
      <c r="F35" s="17" t="s">
        <v>374</v>
      </c>
      <c r="G35" s="17" t="s">
        <v>321</v>
      </c>
    </row>
    <row r="36" spans="1:7" x14ac:dyDescent="0.15">
      <c r="A36" s="8">
        <v>35</v>
      </c>
      <c r="B36" s="17" t="s">
        <v>250</v>
      </c>
      <c r="C36" s="18" t="s">
        <v>251</v>
      </c>
      <c r="E36" s="8">
        <v>5000</v>
      </c>
      <c r="F36" s="17" t="s">
        <v>376</v>
      </c>
      <c r="G36" s="17" t="s">
        <v>320</v>
      </c>
    </row>
    <row r="37" spans="1:7" x14ac:dyDescent="0.15">
      <c r="A37" s="8">
        <v>36</v>
      </c>
      <c r="B37" s="17" t="s">
        <v>355</v>
      </c>
      <c r="C37" s="30" t="s">
        <v>392</v>
      </c>
      <c r="E37" s="8">
        <v>5000</v>
      </c>
      <c r="F37" s="17" t="s">
        <v>362</v>
      </c>
      <c r="G37" s="17" t="s">
        <v>527</v>
      </c>
    </row>
    <row r="38" spans="1:7" x14ac:dyDescent="0.15">
      <c r="A38" s="8">
        <v>37</v>
      </c>
      <c r="B38" s="17" t="s">
        <v>345</v>
      </c>
      <c r="C38" s="30" t="s">
        <v>346</v>
      </c>
      <c r="E38" s="8">
        <v>5000</v>
      </c>
      <c r="F38" s="17" t="s">
        <v>350</v>
      </c>
      <c r="G38" s="17" t="s">
        <v>541</v>
      </c>
    </row>
    <row r="39" spans="1:7" x14ac:dyDescent="0.15">
      <c r="A39" s="8">
        <v>38</v>
      </c>
      <c r="B39" s="17" t="s">
        <v>262</v>
      </c>
      <c r="C39" s="34" t="s">
        <v>253</v>
      </c>
      <c r="E39" s="8">
        <v>120000</v>
      </c>
      <c r="F39" s="17" t="s">
        <v>291</v>
      </c>
      <c r="G39" s="17" t="s">
        <v>291</v>
      </c>
    </row>
    <row r="40" spans="1:7" x14ac:dyDescent="0.15">
      <c r="A40" s="8">
        <v>39</v>
      </c>
      <c r="B40" s="17" t="s">
        <v>234</v>
      </c>
      <c r="C40" s="35" t="s">
        <v>188</v>
      </c>
      <c r="E40" s="8">
        <v>120000</v>
      </c>
      <c r="F40" s="17" t="s">
        <v>235</v>
      </c>
      <c r="G40" s="17" t="s">
        <v>235</v>
      </c>
    </row>
    <row r="41" spans="1:7" x14ac:dyDescent="0.15">
      <c r="A41" s="8">
        <v>40</v>
      </c>
      <c r="B41" s="9" t="s">
        <v>189</v>
      </c>
      <c r="C41" s="27" t="s">
        <v>190</v>
      </c>
      <c r="E41" s="8">
        <v>200000</v>
      </c>
      <c r="F41" s="17" t="s">
        <v>379</v>
      </c>
      <c r="G41" s="17" t="s">
        <v>319</v>
      </c>
    </row>
    <row r="42" spans="1:7" x14ac:dyDescent="0.15">
      <c r="B42" s="17"/>
    </row>
    <row r="44" spans="1:7" x14ac:dyDescent="0.15">
      <c r="C44" s="31"/>
      <c r="D44" s="31"/>
      <c r="E44" s="11"/>
      <c r="F44" s="17" t="s">
        <v>271</v>
      </c>
    </row>
    <row r="45" spans="1:7" x14ac:dyDescent="0.15">
      <c r="C45" s="31"/>
      <c r="D45" s="31"/>
      <c r="E45" s="11"/>
      <c r="G45" s="17"/>
    </row>
    <row r="46" spans="1:7" x14ac:dyDescent="0.15">
      <c r="C46" s="31"/>
      <c r="D46" s="31"/>
      <c r="E46" s="11"/>
      <c r="F46" s="11"/>
    </row>
    <row r="47" spans="1:7" x14ac:dyDescent="0.15">
      <c r="C47" s="31"/>
      <c r="D47" s="31"/>
      <c r="E47" s="11"/>
      <c r="F47" s="11"/>
    </row>
    <row r="48" spans="1:7" x14ac:dyDescent="0.15">
      <c r="C48" s="31"/>
      <c r="D48" s="31"/>
      <c r="E48" s="11"/>
      <c r="F48" s="11"/>
    </row>
    <row r="49" spans="3:6" x14ac:dyDescent="0.15">
      <c r="C49" s="31"/>
      <c r="D49" s="31"/>
      <c r="E49" s="11"/>
      <c r="F49" s="11"/>
    </row>
    <row r="50" spans="3:6" x14ac:dyDescent="0.15">
      <c r="C50" s="31"/>
      <c r="D50" s="31"/>
      <c r="E50" s="11"/>
      <c r="F50" s="11"/>
    </row>
    <row r="51" spans="3:6" x14ac:dyDescent="0.15">
      <c r="C51" s="31"/>
      <c r="D51" s="31"/>
      <c r="E51" s="11"/>
      <c r="F51" s="11"/>
    </row>
    <row r="52" spans="3:6" x14ac:dyDescent="0.15">
      <c r="C52" s="31"/>
      <c r="D52" s="31"/>
      <c r="E52" s="11"/>
      <c r="F52" s="11"/>
    </row>
    <row r="53" spans="3:6" x14ac:dyDescent="0.15">
      <c r="C53" s="31"/>
      <c r="D53" s="31"/>
      <c r="E53" s="11"/>
      <c r="F53" s="11"/>
    </row>
    <row r="54" spans="3:6" x14ac:dyDescent="0.15">
      <c r="C54" s="31"/>
      <c r="D54" s="31"/>
      <c r="E54" s="11"/>
      <c r="F54" s="11"/>
    </row>
    <row r="55" spans="3:6" x14ac:dyDescent="0.15">
      <c r="C55" s="31"/>
      <c r="D55" s="31"/>
      <c r="E55" s="11"/>
      <c r="F55" s="11"/>
    </row>
    <row r="56" spans="3:6" x14ac:dyDescent="0.15">
      <c r="C56" s="31"/>
      <c r="D56" s="31"/>
      <c r="E56" s="11"/>
      <c r="F56" s="11"/>
    </row>
    <row r="57" spans="3:6" x14ac:dyDescent="0.15">
      <c r="C57" s="31"/>
      <c r="D57" s="31"/>
      <c r="E57" s="11"/>
      <c r="F57" s="11"/>
    </row>
    <row r="58" spans="3:6" x14ac:dyDescent="0.15">
      <c r="C58" s="31"/>
      <c r="D58" s="31"/>
      <c r="E58" s="11"/>
      <c r="F58" s="11"/>
    </row>
    <row r="59" spans="3:6" x14ac:dyDescent="0.15">
      <c r="C59" s="31"/>
      <c r="D59" s="31"/>
      <c r="E59" s="11"/>
      <c r="F59" s="11"/>
    </row>
    <row r="60" spans="3:6" x14ac:dyDescent="0.15">
      <c r="C60" s="31"/>
      <c r="D60" s="31"/>
      <c r="E60" s="11"/>
      <c r="F60" s="11"/>
    </row>
    <row r="61" spans="3:6" x14ac:dyDescent="0.15">
      <c r="C61" s="31"/>
      <c r="D61" s="31"/>
      <c r="E61" s="11"/>
      <c r="F61" s="11"/>
    </row>
    <row r="62" spans="3:6" x14ac:dyDescent="0.15">
      <c r="C62" s="31"/>
      <c r="D62" s="31"/>
      <c r="E62" s="11"/>
      <c r="F62" s="11"/>
    </row>
    <row r="63" spans="3:6" x14ac:dyDescent="0.15">
      <c r="C63" s="31"/>
      <c r="D63" s="31"/>
      <c r="E63" s="11"/>
      <c r="F63" s="11"/>
    </row>
    <row r="64" spans="3:6" x14ac:dyDescent="0.15">
      <c r="C64" s="31"/>
      <c r="D64" s="31"/>
      <c r="E64" s="11"/>
      <c r="F64" s="11"/>
    </row>
    <row r="65" spans="3:6" x14ac:dyDescent="0.15">
      <c r="C65" s="31"/>
      <c r="D65" s="31"/>
      <c r="E65" s="11"/>
      <c r="F65" s="11"/>
    </row>
    <row r="66" spans="3:6" x14ac:dyDescent="0.15">
      <c r="C66" s="31"/>
      <c r="D66" s="31"/>
      <c r="E66" s="11"/>
      <c r="F66" s="11"/>
    </row>
    <row r="67" spans="3:6" x14ac:dyDescent="0.15">
      <c r="C67" s="31"/>
      <c r="D67" s="31"/>
      <c r="E67" s="11"/>
      <c r="F67" s="11"/>
    </row>
    <row r="68" spans="3:6" x14ac:dyDescent="0.15">
      <c r="C68" s="31"/>
      <c r="D68" s="31"/>
      <c r="E68" s="11"/>
      <c r="F68" s="11"/>
    </row>
    <row r="69" spans="3:6" x14ac:dyDescent="0.15">
      <c r="C69" s="31"/>
      <c r="D69" s="31"/>
      <c r="E69" s="11"/>
      <c r="F69" s="11"/>
    </row>
    <row r="70" spans="3:6" x14ac:dyDescent="0.15">
      <c r="C70" s="31"/>
      <c r="D70" s="31"/>
      <c r="E70" s="11"/>
      <c r="F70" s="11"/>
    </row>
    <row r="71" spans="3:6" x14ac:dyDescent="0.15">
      <c r="C71" s="31"/>
      <c r="D71" s="31"/>
      <c r="E71" s="11"/>
      <c r="F71" s="11"/>
    </row>
    <row r="72" spans="3:6" x14ac:dyDescent="0.15">
      <c r="C72" s="31"/>
      <c r="D72" s="31"/>
      <c r="E72" s="11"/>
      <c r="F72" s="11"/>
    </row>
    <row r="73" spans="3:6" x14ac:dyDescent="0.15">
      <c r="C73" s="31"/>
      <c r="D73" s="31"/>
      <c r="E73" s="11"/>
      <c r="F73" s="11"/>
    </row>
    <row r="74" spans="3:6" x14ac:dyDescent="0.15">
      <c r="C74" s="31"/>
      <c r="D74" s="31"/>
      <c r="E74" s="11"/>
      <c r="F74" s="11"/>
    </row>
    <row r="75" spans="3:6" x14ac:dyDescent="0.15">
      <c r="C75" s="31"/>
      <c r="D75" s="31"/>
      <c r="E75" s="11"/>
      <c r="F75" s="11"/>
    </row>
    <row r="76" spans="3:6" x14ac:dyDescent="0.15">
      <c r="C76" s="31"/>
      <c r="D76" s="31"/>
      <c r="E76" s="11"/>
      <c r="F76" s="11"/>
    </row>
    <row r="77" spans="3:6" x14ac:dyDescent="0.15">
      <c r="C77" s="31"/>
      <c r="D77" s="31"/>
      <c r="E77" s="11"/>
      <c r="F77" s="11"/>
    </row>
    <row r="78" spans="3:6" x14ac:dyDescent="0.15">
      <c r="C78" s="31"/>
      <c r="D78" s="31"/>
      <c r="E78" s="11"/>
      <c r="F78" s="11"/>
    </row>
    <row r="79" spans="3:6" x14ac:dyDescent="0.15">
      <c r="C79" s="31"/>
      <c r="D79" s="31"/>
      <c r="E79" s="11"/>
      <c r="F79" s="11"/>
    </row>
    <row r="80" spans="3:6" x14ac:dyDescent="0.15">
      <c r="C80" s="31"/>
      <c r="D80" s="31"/>
      <c r="E80" s="11"/>
      <c r="F80" s="11"/>
    </row>
    <row r="81" spans="3:6" x14ac:dyDescent="0.15">
      <c r="C81" s="31"/>
      <c r="D81" s="31"/>
      <c r="E81" s="11"/>
      <c r="F81" s="11"/>
    </row>
    <row r="82" spans="3:6" x14ac:dyDescent="0.15">
      <c r="C82" s="31"/>
      <c r="D82" s="31"/>
      <c r="E82" s="11"/>
      <c r="F82" s="11"/>
    </row>
    <row r="83" spans="3:6" x14ac:dyDescent="0.15">
      <c r="C83" s="31"/>
      <c r="D83" s="31"/>
      <c r="E83" s="11"/>
      <c r="F83" s="11"/>
    </row>
    <row r="84" spans="3:6" x14ac:dyDescent="0.15">
      <c r="C84" s="31"/>
      <c r="D84" s="31"/>
      <c r="E84" s="11"/>
      <c r="F84" s="11"/>
    </row>
    <row r="85" spans="3:6" x14ac:dyDescent="0.15">
      <c r="C85" s="31"/>
      <c r="D85" s="31"/>
      <c r="E85" s="11"/>
      <c r="F85" s="11"/>
    </row>
    <row r="86" spans="3:6" x14ac:dyDescent="0.15">
      <c r="C86" s="31"/>
      <c r="D86" s="31"/>
      <c r="E86" s="11"/>
      <c r="F86" s="11"/>
    </row>
    <row r="87" spans="3:6" x14ac:dyDescent="0.15">
      <c r="C87" s="31"/>
      <c r="D87" s="31"/>
      <c r="E87" s="11"/>
      <c r="F87" s="11"/>
    </row>
    <row r="88" spans="3:6" x14ac:dyDescent="0.15">
      <c r="C88" s="31"/>
      <c r="D88" s="31"/>
      <c r="E88" s="11"/>
      <c r="F88" s="11"/>
    </row>
    <row r="89" spans="3:6" x14ac:dyDescent="0.15">
      <c r="C89" s="31"/>
      <c r="D89" s="31"/>
      <c r="E89" s="11"/>
      <c r="F89" s="11"/>
    </row>
    <row r="90" spans="3:6" x14ac:dyDescent="0.15">
      <c r="C90" s="31"/>
      <c r="D90" s="31"/>
      <c r="E90" s="11"/>
      <c r="F90" s="11"/>
    </row>
    <row r="91" spans="3:6" x14ac:dyDescent="0.15">
      <c r="C91" s="31"/>
      <c r="D91" s="31"/>
      <c r="E91" s="11"/>
      <c r="F91" s="11"/>
    </row>
    <row r="92" spans="3:6" x14ac:dyDescent="0.15">
      <c r="C92" s="31"/>
      <c r="D92" s="31"/>
      <c r="E92" s="11"/>
      <c r="F92" s="11"/>
    </row>
    <row r="93" spans="3:6" x14ac:dyDescent="0.15">
      <c r="C93" s="31"/>
      <c r="D93" s="31"/>
      <c r="E93" s="11"/>
      <c r="F93" s="11"/>
    </row>
    <row r="94" spans="3:6" x14ac:dyDescent="0.15">
      <c r="C94" s="31"/>
      <c r="D94" s="31"/>
      <c r="E94" s="11"/>
      <c r="F94" s="11"/>
    </row>
    <row r="95" spans="3:6" x14ac:dyDescent="0.15">
      <c r="C95" s="31"/>
      <c r="D95" s="31"/>
      <c r="E95" s="11"/>
      <c r="F95" s="11"/>
    </row>
    <row r="96" spans="3:6" x14ac:dyDescent="0.15">
      <c r="C96" s="31"/>
      <c r="D96" s="31"/>
      <c r="E96" s="11"/>
      <c r="F96" s="11"/>
    </row>
    <row r="97" spans="3:6" x14ac:dyDescent="0.15">
      <c r="C97" s="31"/>
      <c r="D97" s="31"/>
      <c r="E97" s="11"/>
      <c r="F97" s="11"/>
    </row>
    <row r="98" spans="3:6" x14ac:dyDescent="0.15">
      <c r="C98" s="31"/>
      <c r="D98" s="31"/>
      <c r="E98" s="11"/>
      <c r="F98" s="11"/>
    </row>
    <row r="99" spans="3:6" x14ac:dyDescent="0.15">
      <c r="C99" s="31"/>
      <c r="D99" s="31"/>
      <c r="E99" s="11"/>
      <c r="F99" s="11"/>
    </row>
    <row r="100" spans="3:6" x14ac:dyDescent="0.15">
      <c r="C100" s="31"/>
      <c r="D100" s="31"/>
      <c r="E100" s="11"/>
      <c r="F100" s="11"/>
    </row>
    <row r="101" spans="3:6" x14ac:dyDescent="0.15">
      <c r="C101" s="31"/>
      <c r="D101" s="31"/>
      <c r="E101" s="11"/>
      <c r="F101" s="11"/>
    </row>
    <row r="102" spans="3:6" x14ac:dyDescent="0.15">
      <c r="C102" s="31"/>
      <c r="D102" s="31"/>
      <c r="E102" s="11"/>
      <c r="F102" s="11"/>
    </row>
    <row r="103" spans="3:6" x14ac:dyDescent="0.15">
      <c r="C103" s="31"/>
      <c r="D103" s="31"/>
      <c r="E103" s="11"/>
      <c r="F103" s="11"/>
    </row>
    <row r="104" spans="3:6" x14ac:dyDescent="0.15">
      <c r="C104" s="31"/>
      <c r="D104" s="31"/>
      <c r="E104" s="11"/>
      <c r="F104" s="11"/>
    </row>
    <row r="105" spans="3:6" x14ac:dyDescent="0.15">
      <c r="C105" s="31"/>
      <c r="D105" s="31"/>
      <c r="E105" s="11"/>
      <c r="F105" s="11"/>
    </row>
    <row r="106" spans="3:6" x14ac:dyDescent="0.15">
      <c r="C106" s="31"/>
      <c r="D106" s="31"/>
      <c r="E106" s="11"/>
      <c r="F106" s="11"/>
    </row>
    <row r="107" spans="3:6" x14ac:dyDescent="0.15">
      <c r="C107" s="31"/>
      <c r="D107" s="31"/>
      <c r="E107" s="11"/>
      <c r="F107" s="11"/>
    </row>
    <row r="108" spans="3:6" x14ac:dyDescent="0.15">
      <c r="C108" s="31"/>
      <c r="D108" s="31"/>
      <c r="E108" s="11"/>
      <c r="F108" s="11"/>
    </row>
    <row r="109" spans="3:6" x14ac:dyDescent="0.15">
      <c r="C109" s="31"/>
      <c r="D109" s="31"/>
      <c r="E109" s="11"/>
      <c r="F109" s="11"/>
    </row>
    <row r="110" spans="3:6" x14ac:dyDescent="0.15">
      <c r="C110" s="31"/>
      <c r="D110" s="31"/>
      <c r="E110" s="11"/>
      <c r="F110" s="11"/>
    </row>
    <row r="111" spans="3:6" x14ac:dyDescent="0.15">
      <c r="C111" s="31"/>
      <c r="D111" s="31"/>
      <c r="E111" s="11"/>
      <c r="F111" s="11"/>
    </row>
    <row r="112" spans="3:6" x14ac:dyDescent="0.15">
      <c r="C112" s="31"/>
      <c r="D112" s="31"/>
      <c r="E112" s="11"/>
      <c r="F112" s="11"/>
    </row>
    <row r="113" spans="3:6" x14ac:dyDescent="0.15">
      <c r="C113" s="31"/>
      <c r="D113" s="31"/>
      <c r="E113" s="11"/>
      <c r="F113" s="11"/>
    </row>
    <row r="114" spans="3:6" x14ac:dyDescent="0.15">
      <c r="C114" s="31"/>
      <c r="D114" s="31"/>
      <c r="E114" s="11"/>
      <c r="F114" s="11"/>
    </row>
    <row r="115" spans="3:6" x14ac:dyDescent="0.15">
      <c r="C115" s="31"/>
      <c r="D115" s="31"/>
      <c r="E115" s="11"/>
      <c r="F115" s="11"/>
    </row>
    <row r="116" spans="3:6" x14ac:dyDescent="0.15">
      <c r="C116" s="31"/>
      <c r="D116" s="31"/>
      <c r="E116" s="11"/>
      <c r="F116" s="11"/>
    </row>
    <row r="117" spans="3:6" x14ac:dyDescent="0.15">
      <c r="C117" s="31"/>
      <c r="D117" s="31"/>
      <c r="E117" s="11"/>
      <c r="F117" s="11"/>
    </row>
    <row r="118" spans="3:6" x14ac:dyDescent="0.15">
      <c r="C118" s="31"/>
      <c r="D118" s="31"/>
      <c r="E118" s="11"/>
      <c r="F118" s="11"/>
    </row>
    <row r="119" spans="3:6" x14ac:dyDescent="0.15">
      <c r="C119" s="31"/>
      <c r="D119" s="31"/>
      <c r="E119" s="11"/>
      <c r="F119" s="11"/>
    </row>
    <row r="120" spans="3:6" x14ac:dyDescent="0.15">
      <c r="C120" s="31"/>
      <c r="D120" s="31"/>
      <c r="E120" s="11"/>
      <c r="F120" s="11"/>
    </row>
    <row r="121" spans="3:6" x14ac:dyDescent="0.15">
      <c r="C121" s="31"/>
      <c r="D121" s="31"/>
      <c r="E121" s="11"/>
      <c r="F121" s="11"/>
    </row>
    <row r="122" spans="3:6" x14ac:dyDescent="0.15">
      <c r="C122" s="31"/>
      <c r="D122" s="31"/>
      <c r="E122" s="11"/>
      <c r="F122" s="11"/>
    </row>
    <row r="123" spans="3:6" x14ac:dyDescent="0.15">
      <c r="C123" s="31"/>
      <c r="D123" s="31"/>
      <c r="E123" s="11"/>
      <c r="F123" s="11"/>
    </row>
    <row r="124" spans="3:6" x14ac:dyDescent="0.15">
      <c r="C124" s="31"/>
      <c r="D124" s="31"/>
      <c r="E124" s="11"/>
      <c r="F124" s="11"/>
    </row>
    <row r="125" spans="3:6" x14ac:dyDescent="0.15">
      <c r="C125" s="31"/>
      <c r="D125" s="31"/>
      <c r="E125" s="11"/>
      <c r="F125" s="11"/>
    </row>
    <row r="126" spans="3:6" x14ac:dyDescent="0.15">
      <c r="C126" s="31"/>
      <c r="D126" s="31"/>
      <c r="E126" s="11"/>
      <c r="F126" s="11"/>
    </row>
    <row r="127" spans="3:6" x14ac:dyDescent="0.15">
      <c r="C127" s="31"/>
      <c r="D127" s="31"/>
      <c r="E127" s="11"/>
      <c r="F127" s="11"/>
    </row>
    <row r="128" spans="3:6" x14ac:dyDescent="0.15">
      <c r="C128" s="31"/>
      <c r="D128" s="31"/>
      <c r="E128" s="11"/>
      <c r="F128" s="11"/>
    </row>
    <row r="129" spans="3:6" x14ac:dyDescent="0.15">
      <c r="C129" s="31"/>
      <c r="D129" s="31"/>
      <c r="E129" s="11"/>
      <c r="F129" s="11"/>
    </row>
    <row r="130" spans="3:6" x14ac:dyDescent="0.15">
      <c r="C130" s="31"/>
      <c r="D130" s="31"/>
      <c r="E130" s="11"/>
      <c r="F130" s="11"/>
    </row>
    <row r="131" spans="3:6" x14ac:dyDescent="0.15">
      <c r="C131" s="31"/>
      <c r="D131" s="31"/>
      <c r="E131" s="11"/>
      <c r="F131" s="11"/>
    </row>
    <row r="132" spans="3:6" x14ac:dyDescent="0.15">
      <c r="C132" s="31"/>
      <c r="D132" s="31"/>
      <c r="E132" s="11"/>
      <c r="F132" s="11"/>
    </row>
    <row r="133" spans="3:6" x14ac:dyDescent="0.15">
      <c r="C133" s="31"/>
      <c r="D133" s="31"/>
      <c r="E133" s="11"/>
      <c r="F133" s="11"/>
    </row>
    <row r="134" spans="3:6" x14ac:dyDescent="0.15">
      <c r="C134" s="31"/>
      <c r="D134" s="31"/>
      <c r="E134" s="11"/>
      <c r="F134" s="11"/>
    </row>
    <row r="135" spans="3:6" x14ac:dyDescent="0.15">
      <c r="C135" s="31"/>
      <c r="D135" s="31"/>
      <c r="E135" s="11"/>
      <c r="F135" s="11"/>
    </row>
    <row r="136" spans="3:6" x14ac:dyDescent="0.15">
      <c r="C136" s="31"/>
      <c r="D136" s="31"/>
      <c r="E136" s="11"/>
      <c r="F136" s="11"/>
    </row>
    <row r="137" spans="3:6" x14ac:dyDescent="0.15">
      <c r="C137" s="31"/>
      <c r="D137" s="31"/>
      <c r="E137" s="11"/>
      <c r="F137" s="11"/>
    </row>
    <row r="138" spans="3:6" x14ac:dyDescent="0.15">
      <c r="C138" s="31"/>
      <c r="D138" s="31"/>
      <c r="E138" s="11"/>
      <c r="F138" s="11"/>
    </row>
    <row r="139" spans="3:6" x14ac:dyDescent="0.15">
      <c r="C139" s="31"/>
      <c r="D139" s="31"/>
      <c r="E139" s="11"/>
      <c r="F139" s="11"/>
    </row>
    <row r="140" spans="3:6" x14ac:dyDescent="0.15">
      <c r="C140" s="31"/>
      <c r="D140" s="31"/>
      <c r="E140" s="11"/>
      <c r="F140" s="11"/>
    </row>
    <row r="141" spans="3:6" x14ac:dyDescent="0.15">
      <c r="C141" s="31"/>
      <c r="D141" s="31"/>
      <c r="E141" s="11"/>
      <c r="F141" s="11"/>
    </row>
    <row r="142" spans="3:6" x14ac:dyDescent="0.15">
      <c r="C142" s="31"/>
      <c r="D142" s="31"/>
      <c r="E142" s="11"/>
      <c r="F142" s="11"/>
    </row>
    <row r="143" spans="3:6" x14ac:dyDescent="0.15">
      <c r="C143" s="31"/>
      <c r="D143" s="31"/>
      <c r="E143" s="11"/>
      <c r="F143" s="11"/>
    </row>
    <row r="144" spans="3:6" x14ac:dyDescent="0.15">
      <c r="C144" s="31"/>
      <c r="D144" s="31"/>
      <c r="E144" s="11"/>
      <c r="F144" s="11"/>
    </row>
    <row r="145" spans="3:6" x14ac:dyDescent="0.15">
      <c r="C145" s="31"/>
      <c r="D145" s="31"/>
      <c r="E145" s="11"/>
      <c r="F145" s="11"/>
    </row>
    <row r="146" spans="3:6" x14ac:dyDescent="0.15">
      <c r="C146" s="31"/>
      <c r="D146" s="31"/>
      <c r="E146" s="11"/>
      <c r="F146" s="11"/>
    </row>
    <row r="147" spans="3:6" x14ac:dyDescent="0.15">
      <c r="C147" s="31"/>
      <c r="D147" s="31"/>
      <c r="E147" s="11"/>
      <c r="F147" s="11"/>
    </row>
    <row r="148" spans="3:6" x14ac:dyDescent="0.15">
      <c r="C148" s="31"/>
      <c r="D148" s="31"/>
      <c r="E148" s="11"/>
      <c r="F148" s="11"/>
    </row>
    <row r="149" spans="3:6" x14ac:dyDescent="0.15">
      <c r="C149" s="31"/>
      <c r="D149" s="31"/>
      <c r="E149" s="11"/>
      <c r="F149" s="11"/>
    </row>
    <row r="150" spans="3:6" x14ac:dyDescent="0.15">
      <c r="C150" s="31"/>
      <c r="D150" s="31"/>
      <c r="E150" s="11"/>
      <c r="F150" s="11"/>
    </row>
    <row r="151" spans="3:6" x14ac:dyDescent="0.15">
      <c r="C151" s="31"/>
      <c r="D151" s="31"/>
      <c r="E151" s="11"/>
      <c r="F151" s="11"/>
    </row>
    <row r="152" spans="3:6" x14ac:dyDescent="0.15">
      <c r="C152" s="31"/>
      <c r="D152" s="31"/>
      <c r="E152" s="11"/>
      <c r="F152" s="11"/>
    </row>
    <row r="153" spans="3:6" x14ac:dyDescent="0.15">
      <c r="C153" s="31"/>
      <c r="D153" s="31"/>
      <c r="E153" s="11"/>
      <c r="F153" s="11"/>
    </row>
    <row r="154" spans="3:6" x14ac:dyDescent="0.15">
      <c r="C154" s="31"/>
      <c r="D154" s="31"/>
      <c r="E154" s="11"/>
      <c r="F154" s="11"/>
    </row>
    <row r="155" spans="3:6" x14ac:dyDescent="0.15">
      <c r="C155" s="31"/>
      <c r="D155" s="31"/>
      <c r="E155" s="11"/>
      <c r="F155" s="11"/>
    </row>
    <row r="156" spans="3:6" x14ac:dyDescent="0.15">
      <c r="C156" s="31"/>
      <c r="D156" s="31"/>
      <c r="E156" s="11"/>
      <c r="F156" s="11"/>
    </row>
    <row r="157" spans="3:6" x14ac:dyDescent="0.15">
      <c r="C157" s="31"/>
      <c r="D157" s="31"/>
      <c r="E157" s="11"/>
      <c r="F157" s="11"/>
    </row>
    <row r="158" spans="3:6" x14ac:dyDescent="0.15">
      <c r="C158" s="31"/>
      <c r="D158" s="31"/>
      <c r="E158" s="11"/>
      <c r="F158" s="11"/>
    </row>
    <row r="159" spans="3:6" x14ac:dyDescent="0.15">
      <c r="C159" s="31"/>
      <c r="D159" s="31"/>
      <c r="E159" s="11"/>
      <c r="F159" s="11"/>
    </row>
    <row r="160" spans="3:6" x14ac:dyDescent="0.15">
      <c r="C160" s="31"/>
      <c r="D160" s="31"/>
      <c r="E160" s="11"/>
      <c r="F160" s="11"/>
    </row>
    <row r="161" spans="3:6" x14ac:dyDescent="0.15">
      <c r="C161" s="31"/>
      <c r="D161" s="31"/>
      <c r="E161" s="11"/>
      <c r="F161" s="11"/>
    </row>
    <row r="162" spans="3:6" x14ac:dyDescent="0.15">
      <c r="C162" s="31"/>
      <c r="D162" s="31"/>
      <c r="E162" s="11"/>
      <c r="F162" s="11"/>
    </row>
    <row r="163" spans="3:6" x14ac:dyDescent="0.15">
      <c r="C163" s="31"/>
      <c r="D163" s="31"/>
      <c r="E163" s="11"/>
      <c r="F163" s="11"/>
    </row>
    <row r="164" spans="3:6" x14ac:dyDescent="0.15">
      <c r="C164" s="31"/>
      <c r="D164" s="31"/>
      <c r="E164" s="11"/>
      <c r="F164" s="11"/>
    </row>
    <row r="165" spans="3:6" x14ac:dyDescent="0.15">
      <c r="C165" s="31"/>
      <c r="D165" s="31"/>
      <c r="E165" s="11"/>
      <c r="F165" s="11"/>
    </row>
    <row r="166" spans="3:6" x14ac:dyDescent="0.15">
      <c r="C166" s="31"/>
      <c r="D166" s="31"/>
      <c r="E166" s="11"/>
      <c r="F166" s="11"/>
    </row>
    <row r="167" spans="3:6" x14ac:dyDescent="0.15">
      <c r="C167" s="31"/>
      <c r="D167" s="31"/>
      <c r="E167" s="11"/>
      <c r="F167" s="11"/>
    </row>
    <row r="168" spans="3:6" x14ac:dyDescent="0.15">
      <c r="C168" s="32"/>
      <c r="D168" s="32"/>
      <c r="E168" s="12"/>
      <c r="F168" s="12"/>
    </row>
    <row r="169" spans="3:6" x14ac:dyDescent="0.15">
      <c r="C169" s="32"/>
      <c r="D169" s="32"/>
      <c r="E169" s="12"/>
      <c r="F169" s="12"/>
    </row>
    <row r="170" spans="3:6" x14ac:dyDescent="0.15">
      <c r="C170" s="32"/>
      <c r="D170" s="32"/>
      <c r="E170" s="12"/>
      <c r="F170" s="12"/>
    </row>
    <row r="171" spans="3:6" x14ac:dyDescent="0.15">
      <c r="C171" s="32"/>
      <c r="D171" s="32"/>
      <c r="E171" s="12"/>
      <c r="F171" s="12"/>
    </row>
    <row r="172" spans="3:6" x14ac:dyDescent="0.15">
      <c r="C172" s="33"/>
      <c r="D172" s="33"/>
      <c r="E172" s="13"/>
      <c r="F172" s="13"/>
    </row>
  </sheetData>
  <phoneticPr fontId="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zoomScale="130" zoomScaleNormal="130" workbookViewId="0">
      <selection activeCell="I15" sqref="I15"/>
    </sheetView>
  </sheetViews>
  <sheetFormatPr defaultColWidth="9" defaultRowHeight="14.25" x14ac:dyDescent="0.15"/>
  <cols>
    <col min="1" max="2" width="6.625" style="6" customWidth="1"/>
    <col min="3" max="3" width="9.125" style="6" customWidth="1"/>
    <col min="4" max="4" width="12" style="6" customWidth="1"/>
    <col min="5" max="5" width="38.25" style="6" customWidth="1"/>
    <col min="6" max="16384" width="9" style="6"/>
  </cols>
  <sheetData>
    <row r="1" spans="1:5" x14ac:dyDescent="0.15">
      <c r="A1" s="7" t="s">
        <v>60</v>
      </c>
      <c r="B1" s="7" t="s">
        <v>833</v>
      </c>
      <c r="C1" s="7" t="s">
        <v>44</v>
      </c>
      <c r="D1" s="7" t="s">
        <v>192</v>
      </c>
      <c r="E1" s="7" t="s">
        <v>193</v>
      </c>
    </row>
    <row r="2" spans="1:5" x14ac:dyDescent="0.15">
      <c r="A2" s="8">
        <v>1</v>
      </c>
      <c r="B2" s="8">
        <v>1</v>
      </c>
      <c r="C2" s="8">
        <v>500</v>
      </c>
      <c r="D2" s="18" t="s">
        <v>424</v>
      </c>
      <c r="E2" s="9" t="s">
        <v>194</v>
      </c>
    </row>
    <row r="3" spans="1:5" x14ac:dyDescent="0.15">
      <c r="A3" s="8">
        <v>2</v>
      </c>
      <c r="B3" s="8">
        <v>1</v>
      </c>
      <c r="C3" s="8">
        <v>500</v>
      </c>
      <c r="D3" s="18" t="s">
        <v>519</v>
      </c>
      <c r="E3" s="19" t="s">
        <v>465</v>
      </c>
    </row>
    <row r="4" spans="1:5" x14ac:dyDescent="0.15">
      <c r="A4" s="8">
        <v>3</v>
      </c>
      <c r="B4" s="8">
        <v>2</v>
      </c>
      <c r="C4" s="8">
        <v>2000</v>
      </c>
      <c r="D4" s="18" t="s">
        <v>425</v>
      </c>
      <c r="E4" s="19" t="s">
        <v>466</v>
      </c>
    </row>
    <row r="5" spans="1:5" x14ac:dyDescent="0.15">
      <c r="A5" s="8">
        <v>4</v>
      </c>
      <c r="B5" s="8">
        <v>3</v>
      </c>
      <c r="C5" s="8">
        <v>10000</v>
      </c>
      <c r="D5" s="18" t="s">
        <v>426</v>
      </c>
      <c r="E5" s="19" t="s">
        <v>464</v>
      </c>
    </row>
    <row r="6" spans="1:5" x14ac:dyDescent="0.15">
      <c r="A6" s="8">
        <v>5</v>
      </c>
      <c r="B6" s="8">
        <v>2</v>
      </c>
      <c r="C6" s="8">
        <v>2000</v>
      </c>
      <c r="D6" s="18" t="s">
        <v>427</v>
      </c>
      <c r="E6" s="19" t="s">
        <v>459</v>
      </c>
    </row>
    <row r="7" spans="1:5" x14ac:dyDescent="0.15">
      <c r="A7" s="8">
        <v>6</v>
      </c>
      <c r="B7" s="8">
        <v>2</v>
      </c>
      <c r="C7" s="8">
        <v>2000</v>
      </c>
      <c r="D7" s="18" t="s">
        <v>428</v>
      </c>
      <c r="E7" s="19" t="s">
        <v>460</v>
      </c>
    </row>
    <row r="8" spans="1:5" x14ac:dyDescent="0.15">
      <c r="A8" s="8">
        <v>7</v>
      </c>
      <c r="B8" s="8">
        <v>3</v>
      </c>
      <c r="C8" s="8">
        <v>10000</v>
      </c>
      <c r="D8" s="18" t="s">
        <v>429</v>
      </c>
      <c r="E8" s="19" t="s">
        <v>461</v>
      </c>
    </row>
    <row r="9" spans="1:5" x14ac:dyDescent="0.15">
      <c r="A9" s="8">
        <v>8</v>
      </c>
      <c r="B9" s="8">
        <v>3</v>
      </c>
      <c r="C9" s="8">
        <v>10000</v>
      </c>
      <c r="D9" s="18" t="s">
        <v>430</v>
      </c>
      <c r="E9" s="19" t="s">
        <v>462</v>
      </c>
    </row>
    <row r="10" spans="1:5" x14ac:dyDescent="0.15">
      <c r="A10" s="8">
        <v>9</v>
      </c>
      <c r="B10" s="8">
        <v>4</v>
      </c>
      <c r="C10" s="8">
        <v>50000</v>
      </c>
      <c r="D10" s="18" t="s">
        <v>431</v>
      </c>
      <c r="E10" s="19" t="s">
        <v>463</v>
      </c>
    </row>
    <row r="11" spans="1:5" x14ac:dyDescent="0.15">
      <c r="A11" s="8">
        <v>10</v>
      </c>
      <c r="B11" s="8">
        <v>1</v>
      </c>
      <c r="C11" s="8">
        <v>500</v>
      </c>
      <c r="D11" s="18" t="s">
        <v>432</v>
      </c>
      <c r="E11" s="19" t="s">
        <v>505</v>
      </c>
    </row>
    <row r="12" spans="1:5" x14ac:dyDescent="0.15">
      <c r="A12" s="8">
        <v>11</v>
      </c>
      <c r="B12" s="8">
        <v>2</v>
      </c>
      <c r="C12" s="8">
        <v>2000</v>
      </c>
      <c r="D12" s="18" t="s">
        <v>433</v>
      </c>
      <c r="E12" s="9" t="s">
        <v>504</v>
      </c>
    </row>
    <row r="13" spans="1:5" x14ac:dyDescent="0.15">
      <c r="A13" s="8">
        <v>12</v>
      </c>
      <c r="B13" s="8">
        <v>3</v>
      </c>
      <c r="C13" s="8">
        <v>10000</v>
      </c>
      <c r="D13" s="18" t="s">
        <v>434</v>
      </c>
      <c r="E13" s="9" t="s">
        <v>503</v>
      </c>
    </row>
    <row r="14" spans="1:5" x14ac:dyDescent="0.15">
      <c r="A14" s="8">
        <v>13</v>
      </c>
      <c r="B14" s="8">
        <v>4</v>
      </c>
      <c r="C14" s="8">
        <v>50000</v>
      </c>
      <c r="D14" s="18" t="s">
        <v>435</v>
      </c>
      <c r="E14" s="9" t="s">
        <v>834</v>
      </c>
    </row>
    <row r="15" spans="1:5" x14ac:dyDescent="0.15">
      <c r="A15" s="8">
        <v>14</v>
      </c>
      <c r="B15" s="8">
        <v>1</v>
      </c>
      <c r="C15" s="8">
        <v>500</v>
      </c>
      <c r="D15" s="18" t="s">
        <v>436</v>
      </c>
      <c r="E15" s="19" t="s">
        <v>499</v>
      </c>
    </row>
    <row r="16" spans="1:5" x14ac:dyDescent="0.15">
      <c r="A16" s="8">
        <v>15</v>
      </c>
      <c r="B16" s="8">
        <v>1</v>
      </c>
      <c r="C16" s="8">
        <v>500</v>
      </c>
      <c r="D16" s="18" t="s">
        <v>437</v>
      </c>
      <c r="E16" s="19" t="s">
        <v>500</v>
      </c>
    </row>
    <row r="17" spans="1:5" x14ac:dyDescent="0.15">
      <c r="A17" s="8">
        <v>16</v>
      </c>
      <c r="B17" s="8">
        <v>2</v>
      </c>
      <c r="C17" s="8">
        <v>2000</v>
      </c>
      <c r="D17" s="18" t="s">
        <v>438</v>
      </c>
      <c r="E17" s="19" t="s">
        <v>501</v>
      </c>
    </row>
    <row r="18" spans="1:5" x14ac:dyDescent="0.15">
      <c r="A18" s="8">
        <v>17</v>
      </c>
      <c r="B18" s="8">
        <v>3</v>
      </c>
      <c r="C18" s="8">
        <v>10000</v>
      </c>
      <c r="D18" s="18" t="s">
        <v>439</v>
      </c>
      <c r="E18" s="19" t="s">
        <v>502</v>
      </c>
    </row>
    <row r="19" spans="1:5" x14ac:dyDescent="0.15">
      <c r="A19" s="8">
        <v>18</v>
      </c>
      <c r="B19" s="8">
        <v>2</v>
      </c>
      <c r="C19" s="8">
        <v>2000</v>
      </c>
      <c r="D19" s="18" t="s">
        <v>440</v>
      </c>
      <c r="E19" s="17" t="s">
        <v>470</v>
      </c>
    </row>
    <row r="20" spans="1:5" x14ac:dyDescent="0.15">
      <c r="A20" s="8">
        <v>19</v>
      </c>
      <c r="B20" s="8">
        <v>3</v>
      </c>
      <c r="C20" s="8">
        <v>10000</v>
      </c>
      <c r="D20" s="18" t="s">
        <v>441</v>
      </c>
      <c r="E20" s="17" t="s">
        <v>472</v>
      </c>
    </row>
    <row r="21" spans="1:5" x14ac:dyDescent="0.15">
      <c r="A21" s="8">
        <v>20</v>
      </c>
      <c r="B21" s="8">
        <v>2</v>
      </c>
      <c r="C21" s="8">
        <v>2000</v>
      </c>
      <c r="D21" s="18" t="s">
        <v>442</v>
      </c>
      <c r="E21" s="17" t="s">
        <v>471</v>
      </c>
    </row>
    <row r="22" spans="1:5" x14ac:dyDescent="0.15">
      <c r="A22" s="8">
        <v>21</v>
      </c>
      <c r="B22" s="8">
        <v>3</v>
      </c>
      <c r="C22" s="8">
        <v>10000</v>
      </c>
      <c r="D22" s="18" t="s">
        <v>443</v>
      </c>
      <c r="E22" s="17" t="s">
        <v>515</v>
      </c>
    </row>
    <row r="23" spans="1:5" x14ac:dyDescent="0.15">
      <c r="A23" s="8">
        <v>22</v>
      </c>
      <c r="B23" s="8">
        <v>2</v>
      </c>
      <c r="C23" s="8">
        <v>2000</v>
      </c>
      <c r="D23" s="18" t="s">
        <v>444</v>
      </c>
      <c r="E23" s="17" t="s">
        <v>514</v>
      </c>
    </row>
    <row r="24" spans="1:5" x14ac:dyDescent="0.15">
      <c r="A24" s="8">
        <v>23</v>
      </c>
      <c r="B24" s="8">
        <v>3</v>
      </c>
      <c r="C24" s="8">
        <v>10000</v>
      </c>
      <c r="D24" s="18" t="s">
        <v>445</v>
      </c>
      <c r="E24" s="17" t="s">
        <v>473</v>
      </c>
    </row>
    <row r="25" spans="1:5" x14ac:dyDescent="0.15">
      <c r="A25" s="8">
        <v>24</v>
      </c>
      <c r="B25" s="8">
        <v>3</v>
      </c>
      <c r="C25" s="8">
        <v>10000</v>
      </c>
      <c r="D25" s="18" t="s">
        <v>446</v>
      </c>
      <c r="E25" s="9" t="s">
        <v>467</v>
      </c>
    </row>
    <row r="26" spans="1:5" x14ac:dyDescent="0.15">
      <c r="A26" s="8">
        <v>25</v>
      </c>
      <c r="B26" s="8">
        <v>2</v>
      </c>
      <c r="C26" s="8">
        <v>2000</v>
      </c>
      <c r="D26" s="18" t="s">
        <v>447</v>
      </c>
      <c r="E26" s="19" t="s">
        <v>469</v>
      </c>
    </row>
    <row r="27" spans="1:5" x14ac:dyDescent="0.15">
      <c r="A27" s="8">
        <v>26</v>
      </c>
      <c r="B27" s="8">
        <v>3</v>
      </c>
      <c r="C27" s="8">
        <v>10000</v>
      </c>
      <c r="D27" s="18" t="s">
        <v>448</v>
      </c>
      <c r="E27" s="9" t="s">
        <v>495</v>
      </c>
    </row>
    <row r="28" spans="1:5" x14ac:dyDescent="0.15">
      <c r="A28" s="8">
        <v>27</v>
      </c>
      <c r="B28" s="8">
        <v>3</v>
      </c>
      <c r="C28" s="8">
        <v>10000</v>
      </c>
      <c r="D28" s="18" t="s">
        <v>449</v>
      </c>
      <c r="E28" s="19" t="s">
        <v>496</v>
      </c>
    </row>
    <row r="29" spans="1:5" x14ac:dyDescent="0.15">
      <c r="A29" s="8">
        <v>28</v>
      </c>
      <c r="B29" s="8">
        <v>3</v>
      </c>
      <c r="C29" s="8">
        <v>10000</v>
      </c>
      <c r="D29" s="18" t="s">
        <v>450</v>
      </c>
      <c r="E29" s="19" t="s">
        <v>497</v>
      </c>
    </row>
    <row r="30" spans="1:5" x14ac:dyDescent="0.15">
      <c r="A30" s="8">
        <v>29</v>
      </c>
      <c r="B30" s="8">
        <v>2</v>
      </c>
      <c r="C30" s="8">
        <v>2000</v>
      </c>
      <c r="D30" s="18" t="s">
        <v>451</v>
      </c>
      <c r="E30" s="9" t="s">
        <v>468</v>
      </c>
    </row>
    <row r="31" spans="1:5" x14ac:dyDescent="0.15">
      <c r="A31" s="8">
        <v>30</v>
      </c>
      <c r="B31" s="8">
        <v>3</v>
      </c>
      <c r="C31" s="8">
        <v>10000</v>
      </c>
      <c r="D31" s="18" t="s">
        <v>452</v>
      </c>
      <c r="E31" s="19" t="s">
        <v>498</v>
      </c>
    </row>
    <row r="32" spans="1:5" x14ac:dyDescent="0.15">
      <c r="A32" s="8">
        <v>31</v>
      </c>
      <c r="B32" s="8">
        <v>1</v>
      </c>
      <c r="C32" s="8">
        <v>500</v>
      </c>
      <c r="D32" s="18" t="s">
        <v>453</v>
      </c>
      <c r="E32" s="19" t="s">
        <v>506</v>
      </c>
    </row>
    <row r="33" spans="1:5" x14ac:dyDescent="0.15">
      <c r="A33" s="8">
        <v>32</v>
      </c>
      <c r="B33" s="8">
        <v>1</v>
      </c>
      <c r="C33" s="8">
        <v>500</v>
      </c>
      <c r="D33" s="18" t="s">
        <v>454</v>
      </c>
      <c r="E33" s="19" t="s">
        <v>507</v>
      </c>
    </row>
    <row r="34" spans="1:5" x14ac:dyDescent="0.15">
      <c r="A34" s="8">
        <v>33</v>
      </c>
      <c r="B34" s="8">
        <v>2</v>
      </c>
      <c r="C34" s="8">
        <v>2000</v>
      </c>
      <c r="D34" s="18" t="s">
        <v>455</v>
      </c>
      <c r="E34" s="19" t="s">
        <v>520</v>
      </c>
    </row>
    <row r="35" spans="1:5" x14ac:dyDescent="0.15">
      <c r="A35" s="8">
        <v>34</v>
      </c>
      <c r="B35" s="8">
        <v>3</v>
      </c>
      <c r="C35" s="8">
        <v>10000</v>
      </c>
      <c r="D35" s="18" t="s">
        <v>456</v>
      </c>
      <c r="E35" s="19" t="s">
        <v>521</v>
      </c>
    </row>
    <row r="36" spans="1:5" x14ac:dyDescent="0.15">
      <c r="A36" s="8">
        <v>35</v>
      </c>
      <c r="B36" s="8">
        <v>1</v>
      </c>
      <c r="C36" s="8">
        <v>500</v>
      </c>
      <c r="D36" s="18" t="s">
        <v>457</v>
      </c>
      <c r="E36" s="19" t="s">
        <v>508</v>
      </c>
    </row>
    <row r="37" spans="1:5" x14ac:dyDescent="0.15">
      <c r="A37" s="8">
        <v>36</v>
      </c>
      <c r="B37" s="8">
        <v>2</v>
      </c>
      <c r="C37" s="8">
        <v>2000</v>
      </c>
      <c r="D37" s="18" t="s">
        <v>458</v>
      </c>
      <c r="E37" s="19" t="s">
        <v>509</v>
      </c>
    </row>
    <row r="38" spans="1:5" x14ac:dyDescent="0.15">
      <c r="A38" s="8">
        <v>37</v>
      </c>
      <c r="B38" s="8">
        <v>3</v>
      </c>
      <c r="C38" s="8">
        <v>10000</v>
      </c>
      <c r="D38" s="18" t="s">
        <v>481</v>
      </c>
      <c r="E38" s="19" t="s">
        <v>510</v>
      </c>
    </row>
    <row r="39" spans="1:5" x14ac:dyDescent="0.15">
      <c r="A39" s="8">
        <v>38</v>
      </c>
      <c r="B39" s="8">
        <v>1</v>
      </c>
      <c r="C39" s="8">
        <v>500</v>
      </c>
      <c r="D39" s="18" t="s">
        <v>482</v>
      </c>
      <c r="E39" s="19" t="s">
        <v>511</v>
      </c>
    </row>
    <row r="40" spans="1:5" x14ac:dyDescent="0.15">
      <c r="A40" s="8">
        <v>39</v>
      </c>
      <c r="B40" s="8">
        <v>2</v>
      </c>
      <c r="C40" s="8">
        <v>2000</v>
      </c>
      <c r="D40" s="18" t="s">
        <v>483</v>
      </c>
      <c r="E40" s="19" t="s">
        <v>512</v>
      </c>
    </row>
    <row r="41" spans="1:5" x14ac:dyDescent="0.15">
      <c r="A41" s="8">
        <v>40</v>
      </c>
      <c r="B41" s="8">
        <v>3</v>
      </c>
      <c r="C41" s="8">
        <v>10000</v>
      </c>
      <c r="D41" s="18" t="s">
        <v>484</v>
      </c>
      <c r="E41" s="19" t="s">
        <v>513</v>
      </c>
    </row>
    <row r="42" spans="1:5" x14ac:dyDescent="0.15">
      <c r="A42" s="8">
        <v>41</v>
      </c>
      <c r="B42" s="8">
        <v>3</v>
      </c>
      <c r="C42" s="8">
        <v>10000</v>
      </c>
      <c r="D42" s="18" t="s">
        <v>485</v>
      </c>
      <c r="E42" s="17" t="s">
        <v>516</v>
      </c>
    </row>
    <row r="43" spans="1:5" x14ac:dyDescent="0.15">
      <c r="A43" s="8">
        <v>42</v>
      </c>
      <c r="B43" s="8">
        <v>3</v>
      </c>
      <c r="C43" s="8">
        <v>10000</v>
      </c>
      <c r="D43" s="18" t="s">
        <v>486</v>
      </c>
      <c r="E43" s="17" t="s">
        <v>517</v>
      </c>
    </row>
    <row r="44" spans="1:5" x14ac:dyDescent="0.15">
      <c r="A44" s="8">
        <v>43</v>
      </c>
      <c r="B44" s="8">
        <v>3</v>
      </c>
      <c r="C44" s="8">
        <v>10000</v>
      </c>
      <c r="D44" s="18" t="s">
        <v>487</v>
      </c>
      <c r="E44" s="6" t="s">
        <v>518</v>
      </c>
    </row>
    <row r="45" spans="1:5" x14ac:dyDescent="0.15">
      <c r="A45" s="8">
        <v>44</v>
      </c>
      <c r="B45" s="8">
        <v>1</v>
      </c>
      <c r="C45" s="8">
        <v>500</v>
      </c>
      <c r="D45" s="18" t="s">
        <v>488</v>
      </c>
      <c r="E45" s="6" t="s">
        <v>478</v>
      </c>
    </row>
    <row r="46" spans="1:5" x14ac:dyDescent="0.15">
      <c r="A46" s="8">
        <v>45</v>
      </c>
      <c r="B46" s="8">
        <v>2</v>
      </c>
      <c r="C46" s="8">
        <v>2000</v>
      </c>
      <c r="D46" s="18" t="s">
        <v>489</v>
      </c>
      <c r="E46" s="17" t="s">
        <v>480</v>
      </c>
    </row>
    <row r="47" spans="1:5" x14ac:dyDescent="0.15">
      <c r="A47" s="8">
        <v>46</v>
      </c>
      <c r="B47" s="8">
        <v>3</v>
      </c>
      <c r="C47" s="8">
        <v>10000</v>
      </c>
      <c r="D47" s="18" t="s">
        <v>490</v>
      </c>
      <c r="E47" s="17" t="s">
        <v>479</v>
      </c>
    </row>
    <row r="48" spans="1:5" x14ac:dyDescent="0.15">
      <c r="A48" s="8">
        <v>47</v>
      </c>
      <c r="B48" s="8">
        <v>1</v>
      </c>
      <c r="C48" s="8">
        <v>500</v>
      </c>
      <c r="D48" s="18" t="s">
        <v>491</v>
      </c>
      <c r="E48" s="19" t="s">
        <v>476</v>
      </c>
    </row>
    <row r="49" spans="1:5" x14ac:dyDescent="0.15">
      <c r="A49" s="8">
        <v>48</v>
      </c>
      <c r="B49" s="8">
        <v>2</v>
      </c>
      <c r="C49" s="8">
        <v>2000</v>
      </c>
      <c r="D49" s="18" t="s">
        <v>492</v>
      </c>
      <c r="E49" s="19" t="s">
        <v>475</v>
      </c>
    </row>
    <row r="50" spans="1:5" x14ac:dyDescent="0.15">
      <c r="A50" s="8">
        <v>49</v>
      </c>
      <c r="B50" s="8">
        <v>3</v>
      </c>
      <c r="C50" s="8">
        <v>10000</v>
      </c>
      <c r="D50" s="18" t="s">
        <v>493</v>
      </c>
      <c r="E50" s="9" t="s">
        <v>474</v>
      </c>
    </row>
    <row r="51" spans="1:5" x14ac:dyDescent="0.15">
      <c r="A51" s="8">
        <v>50</v>
      </c>
      <c r="B51" s="8">
        <v>4</v>
      </c>
      <c r="C51" s="8">
        <v>50000</v>
      </c>
      <c r="D51" s="18" t="s">
        <v>494</v>
      </c>
      <c r="E51" s="9" t="s">
        <v>477</v>
      </c>
    </row>
    <row r="52" spans="1:5" x14ac:dyDescent="0.15">
      <c r="A52" s="8"/>
      <c r="B52" s="8"/>
      <c r="C52" s="8"/>
      <c r="D52" s="18"/>
    </row>
    <row r="53" spans="1:5" x14ac:dyDescent="0.15">
      <c r="A53" s="8"/>
      <c r="B53" s="8"/>
      <c r="C53" s="8"/>
      <c r="D53" s="18"/>
    </row>
    <row r="54" spans="1:5" x14ac:dyDescent="0.15">
      <c r="A54" s="8"/>
      <c r="B54" s="8"/>
      <c r="C54" s="8"/>
      <c r="D54" s="18"/>
    </row>
    <row r="55" spans="1:5" x14ac:dyDescent="0.15">
      <c r="A55" s="8"/>
      <c r="B55" s="8"/>
      <c r="C55" s="8"/>
      <c r="D55" s="18"/>
      <c r="E55" s="19"/>
    </row>
    <row r="56" spans="1:5" x14ac:dyDescent="0.15">
      <c r="A56" s="8"/>
      <c r="B56" s="8"/>
      <c r="C56" s="8"/>
      <c r="D56" s="18"/>
    </row>
    <row r="57" spans="1:5" x14ac:dyDescent="0.15">
      <c r="A57" s="8"/>
      <c r="B57" s="8"/>
      <c r="C57" s="8"/>
      <c r="D57" s="18"/>
    </row>
    <row r="58" spans="1:5" x14ac:dyDescent="0.15">
      <c r="A58" s="8"/>
      <c r="B58" s="8"/>
      <c r="C58" s="8"/>
      <c r="D58" s="18"/>
    </row>
    <row r="59" spans="1:5" x14ac:dyDescent="0.15">
      <c r="A59" s="8"/>
      <c r="B59" s="8"/>
      <c r="C59" s="8"/>
      <c r="D59" s="18"/>
    </row>
    <row r="60" spans="1:5" x14ac:dyDescent="0.15">
      <c r="A60" s="8"/>
      <c r="B60" s="8"/>
      <c r="C60" s="8"/>
      <c r="D60" s="18"/>
    </row>
    <row r="61" spans="1:5" x14ac:dyDescent="0.15">
      <c r="A61" s="8"/>
      <c r="B61" s="8"/>
      <c r="C61" s="8"/>
      <c r="D61" s="18"/>
    </row>
    <row r="62" spans="1:5" x14ac:dyDescent="0.15">
      <c r="A62" s="8"/>
      <c r="B62" s="8"/>
      <c r="C62" s="8"/>
      <c r="D62" s="18"/>
    </row>
    <row r="63" spans="1:5" x14ac:dyDescent="0.15">
      <c r="A63" s="8"/>
      <c r="B63" s="8"/>
      <c r="C63" s="8"/>
      <c r="D63" s="18"/>
    </row>
    <row r="64" spans="1:5" x14ac:dyDescent="0.15">
      <c r="A64" s="8"/>
      <c r="B64" s="8"/>
      <c r="C64" s="8"/>
      <c r="D64" s="18"/>
    </row>
  </sheetData>
  <phoneticPr fontId="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tabSelected="1" topLeftCell="A22" zoomScale="130" zoomScaleNormal="130" workbookViewId="0">
      <selection activeCell="G24" sqref="G24"/>
    </sheetView>
  </sheetViews>
  <sheetFormatPr defaultColWidth="9" defaultRowHeight="90.95" customHeight="1" x14ac:dyDescent="0.15"/>
  <cols>
    <col min="1" max="1" width="9" style="1"/>
    <col min="2" max="2" width="25.625" style="2" customWidth="1"/>
    <col min="3" max="3" width="70.875" style="3" customWidth="1"/>
    <col min="4" max="16384" width="9" style="2"/>
  </cols>
  <sheetData>
    <row r="1" spans="1:3" ht="90.95" customHeight="1" x14ac:dyDescent="0.15">
      <c r="A1" s="4" t="s">
        <v>60</v>
      </c>
      <c r="B1" s="4" t="s">
        <v>195</v>
      </c>
      <c r="C1" s="5" t="s">
        <v>196</v>
      </c>
    </row>
    <row r="2" spans="1:3" ht="90.95" customHeight="1" x14ac:dyDescent="0.15">
      <c r="A2" s="14">
        <v>1</v>
      </c>
      <c r="B2" s="22" t="s">
        <v>197</v>
      </c>
      <c r="C2" s="23" t="s">
        <v>198</v>
      </c>
    </row>
    <row r="3" spans="1:3" ht="90.95" customHeight="1" x14ac:dyDescent="0.15">
      <c r="A3" s="14">
        <v>2</v>
      </c>
      <c r="B3" s="22" t="s">
        <v>199</v>
      </c>
      <c r="C3" s="23" t="s">
        <v>200</v>
      </c>
    </row>
    <row r="4" spans="1:3" ht="90.95" customHeight="1" x14ac:dyDescent="0.15">
      <c r="A4" s="14">
        <v>3</v>
      </c>
      <c r="B4" s="22" t="s">
        <v>201</v>
      </c>
      <c r="C4" s="23" t="s">
        <v>202</v>
      </c>
    </row>
    <row r="5" spans="1:3" ht="90.95" customHeight="1" x14ac:dyDescent="0.15">
      <c r="A5" s="14">
        <v>4</v>
      </c>
      <c r="B5" s="22" t="s">
        <v>203</v>
      </c>
      <c r="C5" s="23" t="s">
        <v>204</v>
      </c>
    </row>
    <row r="6" spans="1:3" ht="90.95" customHeight="1" x14ac:dyDescent="0.15">
      <c r="A6" s="14">
        <v>5</v>
      </c>
      <c r="B6" s="22" t="s">
        <v>193</v>
      </c>
      <c r="C6" s="23" t="s">
        <v>204</v>
      </c>
    </row>
    <row r="7" spans="1:3" ht="90.95" customHeight="1" x14ac:dyDescent="0.15">
      <c r="A7" s="14">
        <v>6</v>
      </c>
      <c r="B7" s="22" t="s">
        <v>205</v>
      </c>
      <c r="C7" s="23" t="s">
        <v>206</v>
      </c>
    </row>
    <row r="8" spans="1:3" ht="90.95" customHeight="1" x14ac:dyDescent="0.15">
      <c r="A8" s="1">
        <v>7</v>
      </c>
      <c r="B8" s="2" t="s">
        <v>207</v>
      </c>
      <c r="C8" s="3" t="s">
        <v>208</v>
      </c>
    </row>
    <row r="9" spans="1:3" ht="90.95" customHeight="1" x14ac:dyDescent="0.15">
      <c r="A9" s="14">
        <v>8</v>
      </c>
      <c r="B9" s="22" t="s">
        <v>209</v>
      </c>
      <c r="C9" s="23" t="s">
        <v>210</v>
      </c>
    </row>
    <row r="10" spans="1:3" ht="90.95" customHeight="1" x14ac:dyDescent="0.15">
      <c r="A10" s="14">
        <v>9</v>
      </c>
      <c r="B10" s="22" t="s">
        <v>211</v>
      </c>
      <c r="C10" s="23" t="s">
        <v>212</v>
      </c>
    </row>
    <row r="11" spans="1:3" ht="90.95" customHeight="1" x14ac:dyDescent="0.15">
      <c r="A11" s="14">
        <v>10</v>
      </c>
      <c r="B11" s="22" t="s">
        <v>213</v>
      </c>
      <c r="C11" s="23" t="s">
        <v>214</v>
      </c>
    </row>
    <row r="12" spans="1:3" ht="90.95" customHeight="1" x14ac:dyDescent="0.15">
      <c r="A12" s="14">
        <v>11</v>
      </c>
      <c r="B12" s="22" t="s">
        <v>215</v>
      </c>
      <c r="C12" s="23" t="s">
        <v>216</v>
      </c>
    </row>
    <row r="13" spans="1:3" ht="90.95" customHeight="1" x14ac:dyDescent="0.15">
      <c r="A13" s="14">
        <v>12</v>
      </c>
      <c r="B13" s="22" t="s">
        <v>217</v>
      </c>
      <c r="C13" s="23" t="s">
        <v>218</v>
      </c>
    </row>
    <row r="14" spans="1:3" ht="90.95" customHeight="1" x14ac:dyDescent="0.15">
      <c r="A14" s="14">
        <v>13</v>
      </c>
      <c r="B14" s="22" t="s">
        <v>219</v>
      </c>
      <c r="C14" s="23" t="s">
        <v>220</v>
      </c>
    </row>
    <row r="15" spans="1:3" ht="90.95" customHeight="1" x14ac:dyDescent="0.15">
      <c r="A15" s="14">
        <v>14</v>
      </c>
      <c r="B15" s="22" t="s">
        <v>221</v>
      </c>
      <c r="C15" s="23" t="s">
        <v>222</v>
      </c>
    </row>
    <row r="16" spans="1:3" ht="90.95" customHeight="1" x14ac:dyDescent="0.15">
      <c r="A16" s="14">
        <v>15</v>
      </c>
      <c r="B16" s="22" t="s">
        <v>223</v>
      </c>
      <c r="C16" s="23" t="s">
        <v>224</v>
      </c>
    </row>
    <row r="17" spans="1:3" ht="90.95" customHeight="1" x14ac:dyDescent="0.15">
      <c r="A17" s="14">
        <v>16</v>
      </c>
      <c r="B17" s="22" t="s">
        <v>225</v>
      </c>
      <c r="C17" s="23" t="s">
        <v>226</v>
      </c>
    </row>
    <row r="18" spans="1:3" ht="90.95" customHeight="1" x14ac:dyDescent="0.15">
      <c r="A18" s="14">
        <v>17</v>
      </c>
      <c r="B18" s="20" t="s">
        <v>240</v>
      </c>
      <c r="C18" s="21" t="s">
        <v>241</v>
      </c>
    </row>
    <row r="19" spans="1:3" ht="90.95" customHeight="1" x14ac:dyDescent="0.15">
      <c r="A19" s="14">
        <v>18</v>
      </c>
      <c r="B19" s="20" t="s">
        <v>268</v>
      </c>
      <c r="C19" s="21" t="s">
        <v>269</v>
      </c>
    </row>
    <row r="20" spans="1:3" ht="90.95" customHeight="1" x14ac:dyDescent="0.15">
      <c r="A20" s="14">
        <v>19</v>
      </c>
      <c r="B20" s="20" t="s">
        <v>522</v>
      </c>
      <c r="C20" s="23"/>
    </row>
    <row r="22" spans="1:3" ht="90.95" customHeight="1" x14ac:dyDescent="0.15">
      <c r="B22" s="2" t="s">
        <v>838</v>
      </c>
    </row>
    <row r="23" spans="1:3" ht="90.95" customHeight="1" x14ac:dyDescent="0.15">
      <c r="B23" s="2" t="s">
        <v>839</v>
      </c>
    </row>
    <row r="24" spans="1:3" ht="90.95" customHeight="1" x14ac:dyDescent="0.15">
      <c r="B24" s="2" t="s">
        <v>840</v>
      </c>
    </row>
    <row r="25" spans="1:3" ht="90.95" customHeight="1" x14ac:dyDescent="0.15">
      <c r="B25" s="2" t="s">
        <v>841</v>
      </c>
    </row>
    <row r="26" spans="1:3" ht="90.95" customHeight="1" x14ac:dyDescent="0.15">
      <c r="B26" s="2" t="s">
        <v>842</v>
      </c>
    </row>
    <row r="27" spans="1:3" ht="90.95" customHeight="1" x14ac:dyDescent="0.15">
      <c r="B27" s="2" t="s">
        <v>843</v>
      </c>
    </row>
  </sheetData>
  <phoneticPr fontId="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64EBF-F876-4E2A-9AF0-90FBEA06F765}">
  <dimension ref="A1:E74"/>
  <sheetViews>
    <sheetView topLeftCell="C1" zoomScale="130" zoomScaleNormal="130" workbookViewId="0">
      <selection activeCell="E32" sqref="E32"/>
    </sheetView>
  </sheetViews>
  <sheetFormatPr defaultRowHeight="14.25" x14ac:dyDescent="0.15"/>
  <cols>
    <col min="1" max="1" width="31.875" style="17" bestFit="1" customWidth="1"/>
    <col min="2" max="3" width="33.875" style="17" bestFit="1" customWidth="1"/>
    <col min="4" max="4" width="30.875" style="17" bestFit="1" customWidth="1"/>
    <col min="5" max="5" width="28.75" style="17" bestFit="1" customWidth="1"/>
    <col min="6" max="16384" width="9" style="17"/>
  </cols>
  <sheetData>
    <row r="1" spans="1:5" x14ac:dyDescent="0.15">
      <c r="A1" s="17" t="s">
        <v>548</v>
      </c>
      <c r="B1" s="17" t="s">
        <v>549</v>
      </c>
      <c r="C1" s="17" t="s">
        <v>550</v>
      </c>
      <c r="D1" s="17" t="s">
        <v>551</v>
      </c>
      <c r="E1" s="17" t="s">
        <v>552</v>
      </c>
    </row>
    <row r="2" spans="1:5" x14ac:dyDescent="0.15">
      <c r="A2" s="17" t="s">
        <v>591</v>
      </c>
      <c r="B2" s="17" t="s">
        <v>553</v>
      </c>
      <c r="C2" s="17" t="s">
        <v>554</v>
      </c>
      <c r="D2" s="17" t="s">
        <v>555</v>
      </c>
      <c r="E2" s="17" t="s">
        <v>556</v>
      </c>
    </row>
    <row r="3" spans="1:5" x14ac:dyDescent="0.15">
      <c r="A3" s="17" t="s">
        <v>590</v>
      </c>
      <c r="B3" s="17" t="s">
        <v>557</v>
      </c>
      <c r="C3" s="17" t="s">
        <v>558</v>
      </c>
      <c r="D3" s="17" t="s">
        <v>559</v>
      </c>
      <c r="E3" s="17" t="s">
        <v>560</v>
      </c>
    </row>
    <row r="4" spans="1:5" x14ac:dyDescent="0.15">
      <c r="A4" s="17" t="s">
        <v>589</v>
      </c>
      <c r="B4" s="17" t="s">
        <v>564</v>
      </c>
      <c r="C4" s="17" t="s">
        <v>565</v>
      </c>
      <c r="D4" s="17" t="s">
        <v>566</v>
      </c>
      <c r="E4" s="17" t="s">
        <v>567</v>
      </c>
    </row>
    <row r="5" spans="1:5" ht="18.75" x14ac:dyDescent="0.15">
      <c r="A5" s="17" t="s">
        <v>588</v>
      </c>
      <c r="B5" s="17" t="s">
        <v>584</v>
      </c>
      <c r="C5" s="17" t="s">
        <v>698</v>
      </c>
      <c r="D5" s="17" t="s">
        <v>699</v>
      </c>
      <c r="E5" s="17" t="s">
        <v>700</v>
      </c>
    </row>
    <row r="6" spans="1:5" x14ac:dyDescent="0.15">
      <c r="A6" s="17" t="s">
        <v>587</v>
      </c>
      <c r="B6" s="17" t="s">
        <v>585</v>
      </c>
      <c r="C6" s="17" t="s">
        <v>585</v>
      </c>
      <c r="D6" s="17" t="s">
        <v>701</v>
      </c>
      <c r="E6" s="17" t="s">
        <v>702</v>
      </c>
    </row>
    <row r="7" spans="1:5" x14ac:dyDescent="0.15">
      <c r="A7" s="17" t="s">
        <v>586</v>
      </c>
      <c r="B7" s="17" t="s">
        <v>577</v>
      </c>
      <c r="C7" s="17" t="s">
        <v>577</v>
      </c>
      <c r="D7" s="17" t="s">
        <v>578</v>
      </c>
      <c r="E7" s="17" t="s">
        <v>579</v>
      </c>
    </row>
    <row r="8" spans="1:5" x14ac:dyDescent="0.15">
      <c r="A8" s="17" t="s">
        <v>592</v>
      </c>
      <c r="B8" s="17" t="s">
        <v>48</v>
      </c>
      <c r="C8" s="17" t="s">
        <v>48</v>
      </c>
      <c r="D8" s="17" t="s">
        <v>568</v>
      </c>
      <c r="E8" s="17" t="s">
        <v>569</v>
      </c>
    </row>
    <row r="9" spans="1:5" x14ac:dyDescent="0.15">
      <c r="A9" s="17" t="s">
        <v>593</v>
      </c>
      <c r="B9" s="17" t="s">
        <v>570</v>
      </c>
      <c r="C9" s="17" t="s">
        <v>571</v>
      </c>
      <c r="D9" s="17" t="s">
        <v>572</v>
      </c>
      <c r="E9" s="17" t="s">
        <v>573</v>
      </c>
    </row>
    <row r="10" spans="1:5" x14ac:dyDescent="0.15">
      <c r="A10" s="17" t="s">
        <v>594</v>
      </c>
      <c r="B10" s="17" t="s">
        <v>54</v>
      </c>
      <c r="C10" s="17" t="s">
        <v>574</v>
      </c>
      <c r="D10" s="17" t="s">
        <v>575</v>
      </c>
      <c r="E10" s="17" t="s">
        <v>576</v>
      </c>
    </row>
    <row r="11" spans="1:5" x14ac:dyDescent="0.15">
      <c r="A11" s="17" t="s">
        <v>623</v>
      </c>
      <c r="B11" s="17" t="s">
        <v>42</v>
      </c>
      <c r="C11" s="17" t="s">
        <v>561</v>
      </c>
      <c r="D11" s="17" t="s">
        <v>562</v>
      </c>
      <c r="E11" s="17" t="s">
        <v>563</v>
      </c>
    </row>
    <row r="12" spans="1:5" x14ac:dyDescent="0.15">
      <c r="A12" s="17" t="s">
        <v>595</v>
      </c>
      <c r="B12" s="17" t="s">
        <v>48</v>
      </c>
      <c r="C12" s="17" t="s">
        <v>48</v>
      </c>
      <c r="D12" s="17" t="s">
        <v>568</v>
      </c>
      <c r="E12" s="17" t="s">
        <v>569</v>
      </c>
    </row>
    <row r="13" spans="1:5" x14ac:dyDescent="0.15">
      <c r="A13" s="17" t="s">
        <v>596</v>
      </c>
      <c r="B13" s="17" t="s">
        <v>570</v>
      </c>
      <c r="C13" s="17" t="s">
        <v>571</v>
      </c>
      <c r="D13" s="17" t="s">
        <v>572</v>
      </c>
      <c r="E13" s="17" t="s">
        <v>573</v>
      </c>
    </row>
    <row r="14" spans="1:5" x14ac:dyDescent="0.15">
      <c r="A14" s="17" t="s">
        <v>597</v>
      </c>
      <c r="B14" s="17" t="s">
        <v>54</v>
      </c>
      <c r="C14" s="17" t="s">
        <v>574</v>
      </c>
      <c r="D14" s="17" t="s">
        <v>575</v>
      </c>
      <c r="E14" s="17" t="s">
        <v>576</v>
      </c>
    </row>
    <row r="15" spans="1:5" ht="18.75" x14ac:dyDescent="0.15">
      <c r="A15" s="17" t="s">
        <v>598</v>
      </c>
      <c r="B15" s="17" t="s">
        <v>599</v>
      </c>
      <c r="C15" s="17" t="s">
        <v>703</v>
      </c>
      <c r="D15" s="17" t="s">
        <v>704</v>
      </c>
      <c r="E15" s="17" t="s">
        <v>705</v>
      </c>
    </row>
    <row r="16" spans="1:5" x14ac:dyDescent="0.15">
      <c r="A16" s="17" t="s">
        <v>600</v>
      </c>
      <c r="B16" s="17" t="s">
        <v>601</v>
      </c>
      <c r="C16" s="17" t="s">
        <v>706</v>
      </c>
      <c r="D16" s="17" t="s">
        <v>707</v>
      </c>
      <c r="E16" s="17" t="s">
        <v>708</v>
      </c>
    </row>
    <row r="17" spans="1:5" x14ac:dyDescent="0.15">
      <c r="A17" s="17" t="s">
        <v>602</v>
      </c>
      <c r="B17" s="17" t="s">
        <v>606</v>
      </c>
      <c r="C17" s="17" t="s">
        <v>606</v>
      </c>
      <c r="D17" s="17" t="s">
        <v>709</v>
      </c>
      <c r="E17" s="17" t="s">
        <v>606</v>
      </c>
    </row>
    <row r="18" spans="1:5" x14ac:dyDescent="0.15">
      <c r="A18" s="17" t="s">
        <v>603</v>
      </c>
      <c r="B18" s="17" t="s">
        <v>608</v>
      </c>
      <c r="C18" s="17" t="s">
        <v>608</v>
      </c>
      <c r="D18" s="17" t="s">
        <v>710</v>
      </c>
      <c r="E18" s="17" t="s">
        <v>711</v>
      </c>
    </row>
    <row r="19" spans="1:5" x14ac:dyDescent="0.15">
      <c r="A19" s="17" t="s">
        <v>604</v>
      </c>
      <c r="B19" s="17" t="s">
        <v>607</v>
      </c>
      <c r="C19" s="17" t="s">
        <v>712</v>
      </c>
      <c r="D19" s="17" t="s">
        <v>713</v>
      </c>
      <c r="E19" s="17" t="s">
        <v>714</v>
      </c>
    </row>
    <row r="20" spans="1:5" x14ac:dyDescent="0.15">
      <c r="A20" s="17" t="s">
        <v>605</v>
      </c>
      <c r="B20" s="17" t="s">
        <v>609</v>
      </c>
      <c r="C20" s="17" t="s">
        <v>715</v>
      </c>
      <c r="D20" s="17" t="s">
        <v>716</v>
      </c>
      <c r="E20" s="17" t="s">
        <v>717</v>
      </c>
    </row>
    <row r="21" spans="1:5" x14ac:dyDescent="0.15">
      <c r="A21" s="17" t="s">
        <v>610</v>
      </c>
      <c r="B21" s="17" t="s">
        <v>612</v>
      </c>
      <c r="C21" s="17" t="s">
        <v>718</v>
      </c>
      <c r="D21" s="17" t="s">
        <v>719</v>
      </c>
      <c r="E21" s="17" t="s">
        <v>720</v>
      </c>
    </row>
    <row r="22" spans="1:5" x14ac:dyDescent="0.15">
      <c r="A22" s="17" t="s">
        <v>611</v>
      </c>
      <c r="B22" s="17" t="s">
        <v>613</v>
      </c>
      <c r="C22" s="17" t="s">
        <v>721</v>
      </c>
      <c r="D22" s="17" t="s">
        <v>722</v>
      </c>
      <c r="E22" s="17" t="s">
        <v>723</v>
      </c>
    </row>
    <row r="23" spans="1:5" x14ac:dyDescent="0.15">
      <c r="A23" s="17" t="s">
        <v>614</v>
      </c>
      <c r="B23" s="17" t="s">
        <v>616</v>
      </c>
      <c r="C23" s="17" t="s">
        <v>724</v>
      </c>
      <c r="D23" s="17" t="s">
        <v>725</v>
      </c>
      <c r="E23" s="17" t="s">
        <v>726</v>
      </c>
    </row>
    <row r="24" spans="1:5" x14ac:dyDescent="0.15">
      <c r="A24" s="17" t="s">
        <v>615</v>
      </c>
      <c r="B24" s="17" t="s">
        <v>617</v>
      </c>
      <c r="C24" s="17" t="s">
        <v>727</v>
      </c>
      <c r="D24" s="17" t="s">
        <v>728</v>
      </c>
      <c r="E24" s="17" t="s">
        <v>729</v>
      </c>
    </row>
    <row r="25" spans="1:5" ht="18.75" x14ac:dyDescent="0.15">
      <c r="A25" s="17" t="s">
        <v>622</v>
      </c>
      <c r="B25" s="17" t="s">
        <v>584</v>
      </c>
      <c r="C25" s="17" t="s">
        <v>698</v>
      </c>
      <c r="D25" s="17" t="s">
        <v>699</v>
      </c>
      <c r="E25" s="17" t="s">
        <v>700</v>
      </c>
    </row>
    <row r="26" spans="1:5" x14ac:dyDescent="0.15">
      <c r="A26" s="17" t="s">
        <v>618</v>
      </c>
      <c r="B26" s="17" t="s">
        <v>608</v>
      </c>
      <c r="C26" s="17" t="s">
        <v>608</v>
      </c>
      <c r="D26" s="17" t="s">
        <v>710</v>
      </c>
      <c r="E26" s="17" t="s">
        <v>711</v>
      </c>
    </row>
    <row r="27" spans="1:5" x14ac:dyDescent="0.15">
      <c r="A27" s="17" t="s">
        <v>619</v>
      </c>
      <c r="B27" s="17" t="s">
        <v>607</v>
      </c>
      <c r="C27" s="17" t="s">
        <v>712</v>
      </c>
      <c r="D27" s="17" t="s">
        <v>713</v>
      </c>
      <c r="E27" s="17" t="s">
        <v>714</v>
      </c>
    </row>
    <row r="28" spans="1:5" x14ac:dyDescent="0.15">
      <c r="A28" s="17" t="s">
        <v>830</v>
      </c>
      <c r="B28" s="17" t="s">
        <v>831</v>
      </c>
      <c r="C28" s="17" t="s">
        <v>832</v>
      </c>
      <c r="D28" s="17" t="s">
        <v>832</v>
      </c>
      <c r="E28" s="17" t="s">
        <v>832</v>
      </c>
    </row>
    <row r="29" spans="1:5" x14ac:dyDescent="0.15">
      <c r="A29" s="17" t="s">
        <v>620</v>
      </c>
      <c r="B29" s="17" t="s">
        <v>585</v>
      </c>
      <c r="C29" s="17" t="s">
        <v>585</v>
      </c>
      <c r="D29" s="17" t="s">
        <v>701</v>
      </c>
      <c r="E29" s="17" t="s">
        <v>702</v>
      </c>
    </row>
    <row r="30" spans="1:5" x14ac:dyDescent="0.15">
      <c r="A30" s="17" t="s">
        <v>621</v>
      </c>
      <c r="B30" s="17" t="s">
        <v>624</v>
      </c>
      <c r="C30" s="17" t="s">
        <v>730</v>
      </c>
      <c r="D30" s="17" t="s">
        <v>731</v>
      </c>
      <c r="E30" s="17" t="s">
        <v>732</v>
      </c>
    </row>
    <row r="31" spans="1:5" x14ac:dyDescent="0.15">
      <c r="A31" s="17" t="s">
        <v>625</v>
      </c>
      <c r="B31" s="17" t="s">
        <v>626</v>
      </c>
      <c r="C31" s="17" t="s">
        <v>733</v>
      </c>
      <c r="D31" s="17" t="s">
        <v>734</v>
      </c>
      <c r="E31" s="17" t="s">
        <v>735</v>
      </c>
    </row>
    <row r="32" spans="1:5" x14ac:dyDescent="0.15">
      <c r="A32" s="17" t="s">
        <v>627</v>
      </c>
      <c r="B32" s="17" t="s">
        <v>628</v>
      </c>
      <c r="C32" s="17" t="s">
        <v>736</v>
      </c>
      <c r="D32" s="17" t="s">
        <v>737</v>
      </c>
      <c r="E32" s="17" t="s">
        <v>738</v>
      </c>
    </row>
    <row r="33" spans="1:5" x14ac:dyDescent="0.15">
      <c r="A33" s="17" t="s">
        <v>629</v>
      </c>
      <c r="B33" s="17" t="s">
        <v>630</v>
      </c>
      <c r="C33" s="17" t="s">
        <v>739</v>
      </c>
      <c r="D33" s="17" t="s">
        <v>740</v>
      </c>
      <c r="E33" s="17" t="s">
        <v>739</v>
      </c>
    </row>
    <row r="34" spans="1:5" x14ac:dyDescent="0.15">
      <c r="A34" s="17" t="s">
        <v>631</v>
      </c>
      <c r="B34" s="17" t="s">
        <v>633</v>
      </c>
      <c r="C34" s="17" t="s">
        <v>741</v>
      </c>
      <c r="D34" s="17" t="s">
        <v>742</v>
      </c>
      <c r="E34" s="17" t="s">
        <v>743</v>
      </c>
    </row>
    <row r="35" spans="1:5" x14ac:dyDescent="0.15">
      <c r="A35" s="17" t="s">
        <v>632</v>
      </c>
      <c r="B35" s="17" t="s">
        <v>634</v>
      </c>
      <c r="C35" s="17" t="s">
        <v>634</v>
      </c>
      <c r="D35" s="17" t="s">
        <v>744</v>
      </c>
      <c r="E35" s="17" t="s">
        <v>745</v>
      </c>
    </row>
    <row r="36" spans="1:5" x14ac:dyDescent="0.15">
      <c r="A36" s="17" t="s">
        <v>635</v>
      </c>
      <c r="B36" s="17" t="s">
        <v>636</v>
      </c>
      <c r="C36" s="17" t="s">
        <v>746</v>
      </c>
      <c r="D36" s="17" t="s">
        <v>747</v>
      </c>
      <c r="E36" s="17" t="s">
        <v>748</v>
      </c>
    </row>
    <row r="37" spans="1:5" x14ac:dyDescent="0.15">
      <c r="A37" s="17" t="s">
        <v>637</v>
      </c>
      <c r="B37" s="17" t="s">
        <v>638</v>
      </c>
      <c r="C37" s="17" t="s">
        <v>749</v>
      </c>
      <c r="D37" s="17" t="s">
        <v>750</v>
      </c>
      <c r="E37" s="17" t="s">
        <v>751</v>
      </c>
    </row>
    <row r="38" spans="1:5" x14ac:dyDescent="0.15">
      <c r="A38" s="17" t="s">
        <v>639</v>
      </c>
      <c r="B38" s="17" t="s">
        <v>643</v>
      </c>
      <c r="C38" s="17" t="s">
        <v>752</v>
      </c>
      <c r="D38" s="17" t="s">
        <v>753</v>
      </c>
      <c r="E38" s="17" t="s">
        <v>754</v>
      </c>
    </row>
    <row r="39" spans="1:5" x14ac:dyDescent="0.15">
      <c r="A39" s="17" t="s">
        <v>640</v>
      </c>
      <c r="B39" s="17" t="s">
        <v>644</v>
      </c>
      <c r="C39" s="17" t="s">
        <v>755</v>
      </c>
      <c r="D39" s="17" t="s">
        <v>756</v>
      </c>
      <c r="E39" s="17" t="s">
        <v>757</v>
      </c>
    </row>
    <row r="40" spans="1:5" x14ac:dyDescent="0.15">
      <c r="A40" s="17" t="s">
        <v>641</v>
      </c>
      <c r="B40" s="17" t="s">
        <v>645</v>
      </c>
      <c r="C40" s="17" t="s">
        <v>758</v>
      </c>
      <c r="D40" s="17" t="s">
        <v>759</v>
      </c>
      <c r="E40" s="17" t="s">
        <v>758</v>
      </c>
    </row>
    <row r="41" spans="1:5" x14ac:dyDescent="0.15">
      <c r="A41" s="17" t="s">
        <v>642</v>
      </c>
      <c r="B41" s="17" t="s">
        <v>646</v>
      </c>
      <c r="C41" s="17" t="s">
        <v>760</v>
      </c>
      <c r="D41" s="17" t="s">
        <v>761</v>
      </c>
      <c r="E41" s="17" t="s">
        <v>762</v>
      </c>
    </row>
    <row r="42" spans="1:5" x14ac:dyDescent="0.15">
      <c r="A42" s="17" t="s">
        <v>651</v>
      </c>
      <c r="B42" s="17" t="s">
        <v>652</v>
      </c>
      <c r="C42" s="17" t="s">
        <v>652</v>
      </c>
      <c r="D42" s="17" t="s">
        <v>763</v>
      </c>
      <c r="E42" s="17" t="s">
        <v>764</v>
      </c>
    </row>
    <row r="43" spans="1:5" x14ac:dyDescent="0.15">
      <c r="A43" s="17" t="s">
        <v>653</v>
      </c>
      <c r="B43" s="17" t="s">
        <v>654</v>
      </c>
      <c r="C43" s="17" t="s">
        <v>765</v>
      </c>
      <c r="D43" s="17" t="s">
        <v>766</v>
      </c>
      <c r="E43" s="17" t="s">
        <v>767</v>
      </c>
    </row>
    <row r="44" spans="1:5" x14ac:dyDescent="0.15">
      <c r="A44" s="17" t="s">
        <v>655</v>
      </c>
      <c r="B44" s="17" t="s">
        <v>664</v>
      </c>
      <c r="C44" s="17" t="s">
        <v>768</v>
      </c>
      <c r="D44" s="17" t="s">
        <v>769</v>
      </c>
      <c r="E44" s="36" t="s">
        <v>770</v>
      </c>
    </row>
    <row r="45" spans="1:5" x14ac:dyDescent="0.15">
      <c r="A45" s="17" t="s">
        <v>656</v>
      </c>
      <c r="B45" s="17" t="s">
        <v>665</v>
      </c>
      <c r="C45" s="17" t="s">
        <v>771</v>
      </c>
      <c r="D45" s="17" t="s">
        <v>772</v>
      </c>
      <c r="E45" s="17" t="s">
        <v>773</v>
      </c>
    </row>
    <row r="46" spans="1:5" x14ac:dyDescent="0.15">
      <c r="A46" s="17" t="s">
        <v>657</v>
      </c>
      <c r="B46" s="17" t="s">
        <v>666</v>
      </c>
      <c r="C46" s="17" t="s">
        <v>774</v>
      </c>
      <c r="D46" s="17" t="s">
        <v>775</v>
      </c>
      <c r="E46" s="17" t="s">
        <v>776</v>
      </c>
    </row>
    <row r="47" spans="1:5" x14ac:dyDescent="0.15">
      <c r="A47" s="17" t="s">
        <v>658</v>
      </c>
      <c r="B47" s="17" t="s">
        <v>667</v>
      </c>
      <c r="C47" s="17" t="s">
        <v>777</v>
      </c>
      <c r="D47" s="17" t="s">
        <v>778</v>
      </c>
      <c r="E47" s="17" t="s">
        <v>779</v>
      </c>
    </row>
    <row r="48" spans="1:5" x14ac:dyDescent="0.15">
      <c r="A48" s="17" t="s">
        <v>659</v>
      </c>
      <c r="B48" s="17" t="s">
        <v>668</v>
      </c>
      <c r="C48" s="17" t="s">
        <v>780</v>
      </c>
      <c r="D48" s="17" t="s">
        <v>781</v>
      </c>
      <c r="E48" s="17" t="s">
        <v>781</v>
      </c>
    </row>
    <row r="49" spans="1:5" x14ac:dyDescent="0.15">
      <c r="A49" s="17" t="s">
        <v>660</v>
      </c>
      <c r="B49" s="17" t="s">
        <v>669</v>
      </c>
      <c r="C49" s="17" t="s">
        <v>782</v>
      </c>
      <c r="D49" s="17" t="s">
        <v>783</v>
      </c>
      <c r="E49" s="17" t="s">
        <v>784</v>
      </c>
    </row>
    <row r="50" spans="1:5" x14ac:dyDescent="0.15">
      <c r="A50" s="17" t="s">
        <v>661</v>
      </c>
      <c r="B50" s="17" t="s">
        <v>670</v>
      </c>
      <c r="C50" s="17" t="s">
        <v>785</v>
      </c>
      <c r="D50" s="17" t="s">
        <v>786</v>
      </c>
      <c r="E50" s="17" t="s">
        <v>787</v>
      </c>
    </row>
    <row r="51" spans="1:5" x14ac:dyDescent="0.15">
      <c r="A51" s="17" t="s">
        <v>662</v>
      </c>
      <c r="B51" s="17" t="s">
        <v>607</v>
      </c>
      <c r="C51" s="17" t="s">
        <v>712</v>
      </c>
      <c r="D51" s="17" t="s">
        <v>713</v>
      </c>
      <c r="E51" s="17" t="s">
        <v>714</v>
      </c>
    </row>
    <row r="52" spans="1:5" x14ac:dyDescent="0.15">
      <c r="A52" s="17" t="s">
        <v>663</v>
      </c>
      <c r="B52" s="17" t="s">
        <v>608</v>
      </c>
      <c r="C52" s="17" t="s">
        <v>608</v>
      </c>
      <c r="D52" s="17" t="s">
        <v>710</v>
      </c>
      <c r="E52" s="17" t="s">
        <v>711</v>
      </c>
    </row>
    <row r="53" spans="1:5" x14ac:dyDescent="0.15">
      <c r="A53" s="17" t="s">
        <v>671</v>
      </c>
      <c r="B53" s="17" t="s">
        <v>676</v>
      </c>
      <c r="C53" s="17" t="s">
        <v>788</v>
      </c>
      <c r="D53" s="17" t="s">
        <v>789</v>
      </c>
      <c r="E53" s="17" t="s">
        <v>790</v>
      </c>
    </row>
    <row r="54" spans="1:5" x14ac:dyDescent="0.15">
      <c r="A54" s="17" t="s">
        <v>672</v>
      </c>
      <c r="B54" s="17" t="s">
        <v>669</v>
      </c>
      <c r="C54" s="17" t="s">
        <v>782</v>
      </c>
      <c r="D54" s="17" t="s">
        <v>783</v>
      </c>
      <c r="E54" s="17" t="s">
        <v>784</v>
      </c>
    </row>
    <row r="55" spans="1:5" x14ac:dyDescent="0.15">
      <c r="A55" s="17" t="s">
        <v>673</v>
      </c>
      <c r="B55" s="17" t="s">
        <v>677</v>
      </c>
      <c r="C55" s="17" t="s">
        <v>677</v>
      </c>
      <c r="D55" s="17" t="s">
        <v>793</v>
      </c>
      <c r="E55" s="17" t="s">
        <v>796</v>
      </c>
    </row>
    <row r="56" spans="1:5" x14ac:dyDescent="0.15">
      <c r="A56" s="17" t="s">
        <v>674</v>
      </c>
      <c r="B56" s="17" t="s">
        <v>678</v>
      </c>
      <c r="C56" s="17" t="s">
        <v>791</v>
      </c>
      <c r="D56" s="17" t="s">
        <v>794</v>
      </c>
      <c r="E56" s="17" t="s">
        <v>797</v>
      </c>
    </row>
    <row r="57" spans="1:5" x14ac:dyDescent="0.15">
      <c r="A57" s="17" t="s">
        <v>675</v>
      </c>
      <c r="B57" s="17" t="s">
        <v>679</v>
      </c>
      <c r="C57" s="17" t="s">
        <v>792</v>
      </c>
      <c r="D57" s="17" t="s">
        <v>795</v>
      </c>
      <c r="E57" s="17" t="s">
        <v>798</v>
      </c>
    </row>
    <row r="58" spans="1:5" x14ac:dyDescent="0.15">
      <c r="A58" s="17" t="s">
        <v>680</v>
      </c>
      <c r="B58" s="17" t="s">
        <v>681</v>
      </c>
      <c r="C58" s="17" t="s">
        <v>681</v>
      </c>
      <c r="D58" s="17" t="s">
        <v>799</v>
      </c>
      <c r="E58" s="17" t="s">
        <v>800</v>
      </c>
    </row>
    <row r="59" spans="1:5" x14ac:dyDescent="0.15">
      <c r="A59" s="17" t="s">
        <v>682</v>
      </c>
      <c r="B59" s="17" t="s">
        <v>686</v>
      </c>
      <c r="C59" s="17" t="s">
        <v>801</v>
      </c>
      <c r="D59" s="17" t="s">
        <v>802</v>
      </c>
      <c r="E59" s="17" t="s">
        <v>803</v>
      </c>
    </row>
    <row r="60" spans="1:5" x14ac:dyDescent="0.15">
      <c r="A60" s="17" t="s">
        <v>683</v>
      </c>
      <c r="B60" s="17" t="s">
        <v>685</v>
      </c>
      <c r="C60" s="17" t="s">
        <v>685</v>
      </c>
      <c r="D60" s="17" t="s">
        <v>804</v>
      </c>
      <c r="E60" s="17" t="s">
        <v>805</v>
      </c>
    </row>
    <row r="61" spans="1:5" x14ac:dyDescent="0.15">
      <c r="A61" s="17" t="s">
        <v>812</v>
      </c>
      <c r="B61" s="17" t="s">
        <v>684</v>
      </c>
      <c r="C61" s="17" t="s">
        <v>806</v>
      </c>
      <c r="D61" s="17" t="s">
        <v>807</v>
      </c>
      <c r="E61" s="17" t="s">
        <v>808</v>
      </c>
    </row>
    <row r="62" spans="1:5" x14ac:dyDescent="0.15">
      <c r="A62" s="17" t="s">
        <v>813</v>
      </c>
      <c r="B62" s="17" t="s">
        <v>654</v>
      </c>
      <c r="C62" s="17" t="s">
        <v>765</v>
      </c>
      <c r="D62" s="17" t="s">
        <v>766</v>
      </c>
      <c r="E62" s="17" t="s">
        <v>767</v>
      </c>
    </row>
    <row r="63" spans="1:5" x14ac:dyDescent="0.15">
      <c r="A63" s="17" t="s">
        <v>687</v>
      </c>
      <c r="B63" s="17" t="s">
        <v>688</v>
      </c>
      <c r="C63" s="17" t="s">
        <v>809</v>
      </c>
      <c r="D63" s="17" t="s">
        <v>810</v>
      </c>
      <c r="E63" s="17" t="s">
        <v>811</v>
      </c>
    </row>
    <row r="64" spans="1:5" x14ac:dyDescent="0.15">
      <c r="A64" s="17" t="s">
        <v>689</v>
      </c>
      <c r="B64" s="17" t="s">
        <v>695</v>
      </c>
      <c r="C64" s="17" t="s">
        <v>814</v>
      </c>
      <c r="D64" s="17" t="s">
        <v>815</v>
      </c>
      <c r="E64" s="17" t="s">
        <v>816</v>
      </c>
    </row>
    <row r="65" spans="1:5" x14ac:dyDescent="0.15">
      <c r="A65" s="17" t="s">
        <v>690</v>
      </c>
      <c r="B65" s="17" t="s">
        <v>696</v>
      </c>
      <c r="C65" s="17" t="s">
        <v>817</v>
      </c>
      <c r="D65" s="17" t="s">
        <v>818</v>
      </c>
      <c r="E65" s="17" t="s">
        <v>819</v>
      </c>
    </row>
    <row r="66" spans="1:5" x14ac:dyDescent="0.15">
      <c r="A66" s="17" t="s">
        <v>691</v>
      </c>
      <c r="B66" s="17" t="s">
        <v>608</v>
      </c>
      <c r="C66" s="17" t="s">
        <v>608</v>
      </c>
      <c r="D66" s="17" t="s">
        <v>710</v>
      </c>
      <c r="E66" s="17" t="s">
        <v>711</v>
      </c>
    </row>
    <row r="67" spans="1:5" x14ac:dyDescent="0.15">
      <c r="A67" s="17" t="s">
        <v>692</v>
      </c>
      <c r="B67" s="17" t="s">
        <v>649</v>
      </c>
      <c r="C67" s="17" t="s">
        <v>820</v>
      </c>
      <c r="D67" s="17" t="s">
        <v>821</v>
      </c>
      <c r="E67" s="17" t="s">
        <v>822</v>
      </c>
    </row>
    <row r="68" spans="1:5" x14ac:dyDescent="0.15">
      <c r="A68" s="17" t="s">
        <v>693</v>
      </c>
      <c r="B68" s="17" t="s">
        <v>607</v>
      </c>
      <c r="C68" s="17" t="s">
        <v>712</v>
      </c>
      <c r="D68" s="17" t="s">
        <v>713</v>
      </c>
      <c r="E68" s="17" t="s">
        <v>714</v>
      </c>
    </row>
    <row r="69" spans="1:5" x14ac:dyDescent="0.15">
      <c r="A69" s="17" t="s">
        <v>694</v>
      </c>
      <c r="B69" s="17" t="s">
        <v>697</v>
      </c>
      <c r="C69" s="17" t="s">
        <v>823</v>
      </c>
      <c r="D69" s="17" t="s">
        <v>824</v>
      </c>
      <c r="E69" s="17" t="s">
        <v>825</v>
      </c>
    </row>
    <row r="70" spans="1:5" x14ac:dyDescent="0.15">
      <c r="A70" s="17" t="s">
        <v>647</v>
      </c>
      <c r="B70" s="17" t="s">
        <v>608</v>
      </c>
      <c r="C70" s="17" t="s">
        <v>608</v>
      </c>
      <c r="D70" s="17" t="s">
        <v>710</v>
      </c>
      <c r="E70" s="17" t="s">
        <v>711</v>
      </c>
    </row>
    <row r="71" spans="1:5" x14ac:dyDescent="0.15">
      <c r="A71" s="17" t="s">
        <v>648</v>
      </c>
      <c r="B71" s="17" t="s">
        <v>649</v>
      </c>
      <c r="C71" s="17" t="s">
        <v>820</v>
      </c>
      <c r="D71" s="17" t="s">
        <v>821</v>
      </c>
      <c r="E71" s="17" t="s">
        <v>826</v>
      </c>
    </row>
    <row r="72" spans="1:5" x14ac:dyDescent="0.15">
      <c r="A72" s="17" t="s">
        <v>650</v>
      </c>
      <c r="B72" s="17" t="s">
        <v>607</v>
      </c>
      <c r="C72" s="17" t="s">
        <v>712</v>
      </c>
      <c r="D72" s="17" t="s">
        <v>713</v>
      </c>
      <c r="E72" s="17" t="s">
        <v>714</v>
      </c>
    </row>
    <row r="73" spans="1:5" x14ac:dyDescent="0.15">
      <c r="A73" s="17" t="s">
        <v>580</v>
      </c>
      <c r="B73" s="17" t="s">
        <v>113</v>
      </c>
      <c r="C73" s="17" t="s">
        <v>581</v>
      </c>
      <c r="D73" s="17" t="s">
        <v>114</v>
      </c>
      <c r="E73" s="17" t="s">
        <v>582</v>
      </c>
    </row>
    <row r="74" spans="1:5" x14ac:dyDescent="0.15">
      <c r="A74" s="17" t="s">
        <v>583</v>
      </c>
      <c r="B74" s="17" t="s">
        <v>115</v>
      </c>
      <c r="C74" s="17" t="s">
        <v>827</v>
      </c>
      <c r="D74" s="17" t="s">
        <v>829</v>
      </c>
      <c r="E74" s="17" t="s">
        <v>828</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常规</vt:lpstr>
      <vt:lpstr>方块</vt:lpstr>
      <vt:lpstr>道具</vt:lpstr>
      <vt:lpstr>条约</vt:lpstr>
      <vt:lpstr>成就</vt:lpstr>
      <vt:lpstr>开发</vt:lpstr>
      <vt:lpstr>多语言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b3447</cp:lastModifiedBy>
  <dcterms:created xsi:type="dcterms:W3CDTF">2023-05-12T11:15:00Z</dcterms:created>
  <dcterms:modified xsi:type="dcterms:W3CDTF">2026-01-06T08:27:20Z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68171823892643F7865EF46D7FEDE40E_12</vt:lpwstr>
  </property>
</Properties>
</file>