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426"/>
  <workbookPr/>
  <mc:AlternateContent xmlns:mc="http://schemas.openxmlformats.org/markup-compatibility/2006">
    <mc:Choice Requires="x15">
      <x15ac:absPath xmlns:x15ac="http://schemas.microsoft.com/office/spreadsheetml/2010/11/ac" url="C:\Users\Dabbido\Desktop\Game Dev\GitHub\Mahtris-108\Mahtris 108\Assets\Document\"/>
    </mc:Choice>
  </mc:AlternateContent>
  <xr:revisionPtr revIDLastSave="0" documentId="13_ncr:1_{C6121DAD-CEC8-4953-8D10-0EDC4CB04CBF}" xr6:coauthVersionLast="47" xr6:coauthVersionMax="47" xr10:uidLastSave="{00000000-0000-0000-0000-000000000000}"/>
  <bookViews>
    <workbookView xWindow="-120" yWindow="-120" windowWidth="38640" windowHeight="21240" activeTab="2" xr2:uid="{00000000-000D-0000-FFFF-FFFF00000000}"/>
  </bookViews>
  <sheets>
    <sheet name="常规" sheetId="4" r:id="rId1"/>
    <sheet name="方块" sheetId="5" r:id="rId2"/>
    <sheet name="道具" sheetId="2" r:id="rId3"/>
    <sheet name="条约" sheetId="3" r:id="rId4"/>
    <sheet name="成就" sheetId="6" r:id="rId5"/>
    <sheet name="开发" sheetId="7" r:id="rId6"/>
    <sheet name="多语言" sheetId="8" r:id="rId7"/>
    <sheet name="多语言 (2)" sheetId="10" r:id="rId8"/>
    <sheet name="Sheet3" sheetId="11" r:id="rId9"/>
  </sheets>
  <definedNames>
    <definedName name="_xlnm._FilterDatabase" localSheetId="4" hidden="1">成就!$C$1:$C$64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35" i="3" l="1"/>
  <c r="N36" i="3"/>
  <c r="N37" i="3"/>
  <c r="N38" i="3"/>
  <c r="N39" i="3"/>
  <c r="N40" i="3"/>
  <c r="N34" i="3"/>
  <c r="M35" i="3"/>
  <c r="M36" i="3"/>
  <c r="M37" i="3"/>
  <c r="M38" i="3"/>
  <c r="M39" i="3"/>
  <c r="M40" i="3"/>
  <c r="M34" i="3"/>
  <c r="J35" i="3"/>
  <c r="J36" i="3"/>
  <c r="J37" i="3"/>
  <c r="J38" i="3"/>
  <c r="J39" i="3"/>
  <c r="J40" i="3"/>
  <c r="J34" i="3"/>
  <c r="K34" i="3" s="1"/>
  <c r="K35" i="3"/>
  <c r="K36" i="3"/>
  <c r="K37" i="3"/>
  <c r="K38" i="3"/>
  <c r="K39" i="3"/>
  <c r="K40" i="3"/>
  <c r="J55" i="4"/>
  <c r="J56" i="4"/>
  <c r="J57" i="4"/>
  <c r="J58" i="4"/>
  <c r="J59" i="4"/>
  <c r="J60" i="4"/>
  <c r="J61" i="4"/>
  <c r="J62" i="4"/>
  <c r="J63" i="4"/>
  <c r="J64" i="4"/>
  <c r="J65" i="4"/>
  <c r="J66" i="4"/>
  <c r="J67" i="4"/>
  <c r="J68" i="4"/>
  <c r="J69" i="4"/>
  <c r="J70" i="4"/>
  <c r="J71" i="4"/>
  <c r="J72" i="4"/>
  <c r="J73" i="4"/>
  <c r="J74" i="4"/>
  <c r="I56" i="4"/>
  <c r="I57" i="4" s="1"/>
  <c r="I58" i="4" s="1"/>
  <c r="I59" i="4" s="1"/>
  <c r="I60" i="4" s="1"/>
  <c r="I61" i="4" s="1"/>
  <c r="I62" i="4" s="1"/>
  <c r="I63" i="4" s="1"/>
  <c r="I64" i="4" s="1"/>
  <c r="I65" i="4" s="1"/>
  <c r="I66" i="4" s="1"/>
  <c r="I67" i="4" s="1"/>
  <c r="I68" i="4" s="1"/>
  <c r="I69" i="4" s="1"/>
  <c r="I70" i="4" s="1"/>
  <c r="I71" i="4" s="1"/>
  <c r="I72" i="4" s="1"/>
  <c r="I73" i="4" s="1"/>
  <c r="I74" i="4" s="1"/>
  <c r="L38" i="4"/>
  <c r="L39" i="4"/>
  <c r="L40" i="4"/>
  <c r="L41" i="4"/>
  <c r="L42" i="4"/>
  <c r="L43" i="4"/>
  <c r="L44" i="4"/>
  <c r="L45" i="4"/>
  <c r="L46" i="4"/>
  <c r="L47" i="4"/>
  <c r="L48" i="4"/>
  <c r="L49" i="4"/>
  <c r="L50" i="4"/>
  <c r="L51" i="4"/>
  <c r="L52" i="4"/>
  <c r="L37" i="4"/>
  <c r="K38" i="4"/>
  <c r="K39" i="4"/>
  <c r="K40" i="4"/>
  <c r="K41" i="4"/>
  <c r="K42" i="4"/>
  <c r="K43" i="4"/>
  <c r="K44" i="4"/>
  <c r="K45" i="4"/>
  <c r="K46" i="4"/>
  <c r="K47" i="4"/>
  <c r="K48" i="4"/>
  <c r="K49" i="4"/>
  <c r="K50" i="4"/>
  <c r="K51" i="4"/>
  <c r="K52" i="4"/>
  <c r="K37" i="4"/>
  <c r="C17" i="4"/>
  <c r="C15" i="4"/>
  <c r="E35" i="4"/>
  <c r="N33" i="4"/>
  <c r="N32" i="4"/>
  <c r="E32" i="4"/>
  <c r="N31" i="4"/>
  <c r="E31" i="4"/>
  <c r="N30" i="4"/>
  <c r="E30" i="4"/>
  <c r="N29" i="4"/>
  <c r="N28" i="4"/>
  <c r="N27" i="4"/>
  <c r="N26" i="4"/>
  <c r="C20" i="4"/>
  <c r="C19" i="4"/>
  <c r="C18" i="4"/>
  <c r="C14" i="4"/>
  <c r="C13" i="4"/>
  <c r="C12" i="4"/>
</calcChain>
</file>

<file path=xl/sharedStrings.xml><?xml version="1.0" encoding="utf-8"?>
<sst xmlns="http://schemas.openxmlformats.org/spreadsheetml/2006/main" count="1408" uniqueCount="1022">
  <si>
    <t>规范术语</t>
  </si>
  <si>
    <t>1、一局游戏：开始游戏到游戏失败（倒计时为0，方块触碰边界线，牌库剩余方块为0）</t>
  </si>
  <si>
    <t>Whole Game</t>
  </si>
  <si>
    <t>2、一轮游戏：游戏开始到下一次胡牌，或胡牌清空桌面后到下一次胡牌</t>
  </si>
  <si>
    <t>Round</t>
  </si>
  <si>
    <t>3、一次胡牌：胡牌区凑成可以胡牌的牌型</t>
  </si>
  <si>
    <t>Hu</t>
  </si>
  <si>
    <t>4、一圈胡牌：完成4次胡牌为一圈</t>
  </si>
  <si>
    <t>Four Hu Streak</t>
  </si>
  <si>
    <t>5、基础分：胡牌得分基础分，初始为10</t>
  </si>
  <si>
    <t>Baisc Score</t>
  </si>
  <si>
    <t>6、番数倍率：根据胡牌牌型确定的倍率，为2的番数次方</t>
  </si>
  <si>
    <t>Fan Multiplier</t>
  </si>
  <si>
    <t>Fan Mult.</t>
  </si>
  <si>
    <t>7、方块倍率：所有方块的倍率之和，会被道具或协议影响</t>
  </si>
  <si>
    <t>Polyomino Multiplier</t>
  </si>
  <si>
    <t>Poly. Mult.</t>
  </si>
  <si>
    <t>8、额外倍率：来自道具或协议效果的倍率，初始为1</t>
  </si>
  <si>
    <t>Extra Multiplier</t>
  </si>
  <si>
    <t>Ex Mult.</t>
  </si>
  <si>
    <t>牌型</t>
  </si>
  <si>
    <t>番数</t>
  </si>
  <si>
    <t>倍率</t>
  </si>
  <si>
    <t>备注</t>
  </si>
  <si>
    <t>All Sequences</t>
  </si>
  <si>
    <t>All Triplets</t>
  </si>
  <si>
    <t>清一色</t>
  </si>
  <si>
    <t>Full Flush All Triplets</t>
  </si>
  <si>
    <t>All Terminals</t>
  </si>
  <si>
    <t>Nine Gates</t>
  </si>
  <si>
    <t>地胡</t>
  </si>
  <si>
    <t>胡牌区无牌时，一次连续消行即胡牌</t>
  </si>
  <si>
    <t>Earthly Hand</t>
  </si>
  <si>
    <t>天胡</t>
  </si>
  <si>
    <t>胡牌区无牌时，第一次连续消行即胡牌</t>
  </si>
  <si>
    <t>Heavenly Hand</t>
  </si>
  <si>
    <t>基础分</t>
  </si>
  <si>
    <t>额外</t>
  </si>
  <si>
    <t>得分</t>
  </si>
  <si>
    <t>番数倍率</t>
  </si>
  <si>
    <t>方块倍率</t>
  </si>
  <si>
    <t>额外倍率</t>
  </si>
  <si>
    <t>难度</t>
  </si>
  <si>
    <t>奖励</t>
  </si>
  <si>
    <t>新手</t>
  </si>
  <si>
    <t>大师</t>
  </si>
  <si>
    <t>No</t>
  </si>
  <si>
    <t>名称</t>
  </si>
  <si>
    <t>等级</t>
  </si>
  <si>
    <t>T1-Dot</t>
  </si>
  <si>
    <t>P1-Dot</t>
  </si>
  <si>
    <t>T2-I</t>
  </si>
  <si>
    <t>P2-I Shape</t>
  </si>
  <si>
    <t>T3-I</t>
  </si>
  <si>
    <t>T3-J</t>
  </si>
  <si>
    <t>T3-L</t>
  </si>
  <si>
    <t>T4-1</t>
  </si>
  <si>
    <t>T4-J</t>
  </si>
  <si>
    <t>T4-L</t>
  </si>
  <si>
    <t>T4-O</t>
  </si>
  <si>
    <t>T4-S</t>
  </si>
  <si>
    <t>T4-T</t>
  </si>
  <si>
    <t>T4-Z</t>
  </si>
  <si>
    <t>T5-B</t>
  </si>
  <si>
    <t>T5-Pit</t>
  </si>
  <si>
    <t>T5-D</t>
  </si>
  <si>
    <t>T5-Ex-1</t>
  </si>
  <si>
    <t>T5-Ex-2</t>
  </si>
  <si>
    <t>T5-I</t>
  </si>
  <si>
    <t>T5-J-1</t>
  </si>
  <si>
    <t>T5-J-2</t>
  </si>
  <si>
    <t>T5-L-1</t>
  </si>
  <si>
    <t>T5-L-2</t>
  </si>
  <si>
    <t>T5-S</t>
  </si>
  <si>
    <t>T5-T</t>
  </si>
  <si>
    <t>T5-W-1</t>
  </si>
  <si>
    <t>T5-W-2</t>
  </si>
  <si>
    <t>T5-X</t>
  </si>
  <si>
    <t>T5-Y-1</t>
  </si>
  <si>
    <t>T5-Y-2</t>
  </si>
  <si>
    <t>T5-Z</t>
  </si>
  <si>
    <t>T-Gaint</t>
  </si>
  <si>
    <t>Sp</t>
  </si>
  <si>
    <t>条约效果中使用</t>
  </si>
  <si>
    <t>名称CH</t>
  </si>
  <si>
    <t>名称EN</t>
  </si>
  <si>
    <t>售价</t>
  </si>
  <si>
    <t>果汁</t>
  </si>
  <si>
    <t>Juice</t>
  </si>
  <si>
    <t>功能饮料</t>
  </si>
  <si>
    <t>Energy Drink</t>
  </si>
  <si>
    <t>类固醇</t>
  </si>
  <si>
    <t>Steroid</t>
  </si>
  <si>
    <t>气球</t>
  </si>
  <si>
    <t>Balloon</t>
  </si>
  <si>
    <t>降落伞</t>
  </si>
  <si>
    <t>Parachute</t>
  </si>
  <si>
    <t>喷气背包</t>
  </si>
  <si>
    <t>Jet Pack</t>
  </si>
  <si>
    <t>炸弹</t>
  </si>
  <si>
    <t>Bomb</t>
  </si>
  <si>
    <t>镜子</t>
  </si>
  <si>
    <t>Mirror</t>
  </si>
  <si>
    <t>沙漏</t>
  </si>
  <si>
    <t>Hourglass</t>
  </si>
  <si>
    <t>微波炉</t>
  </si>
  <si>
    <t>Microwave Oven</t>
  </si>
  <si>
    <t>橡皮擦</t>
  </si>
  <si>
    <t>代金券</t>
  </si>
  <si>
    <t>Voucher</t>
  </si>
  <si>
    <t>Magnet</t>
  </si>
  <si>
    <t>Trash Bin</t>
  </si>
  <si>
    <t>方尖塔</t>
  </si>
  <si>
    <t>Obelisk</t>
  </si>
  <si>
    <t>试用小样</t>
  </si>
  <si>
    <t>Sample</t>
  </si>
  <si>
    <t>快进按钮</t>
  </si>
  <si>
    <t>Skip Button</t>
  </si>
  <si>
    <t>仙酒</t>
  </si>
  <si>
    <t>Elixir Wine</t>
  </si>
  <si>
    <t>优惠券</t>
  </si>
  <si>
    <t>Coupon</t>
  </si>
  <si>
    <t>超级炸弹</t>
  </si>
  <si>
    <t>Super Bomb</t>
  </si>
  <si>
    <t>黄金镜</t>
  </si>
  <si>
    <t>Gold Mirror</t>
  </si>
  <si>
    <t>Kids Meal</t>
  </si>
  <si>
    <t>圣诞礼物</t>
  </si>
  <si>
    <t>Xmas Gift</t>
  </si>
  <si>
    <t>Revive Stone</t>
  </si>
  <si>
    <t>大垃圾桶</t>
  </si>
  <si>
    <t>Big Trash Bin</t>
  </si>
  <si>
    <t>点金手</t>
  </si>
  <si>
    <t>Hand of Midas</t>
  </si>
  <si>
    <t>神之救济</t>
  </si>
  <si>
    <t>God's Salvation</t>
  </si>
  <si>
    <t>名称 CH</t>
  </si>
  <si>
    <t>名称 EN</t>
  </si>
  <si>
    <t>速度之星</t>
  </si>
  <si>
    <t>Speed Star</t>
  </si>
  <si>
    <t>断幺九</t>
  </si>
  <si>
    <t>1/9 Remover</t>
  </si>
  <si>
    <t>缺一门</t>
  </si>
  <si>
    <t>Suit Remover</t>
  </si>
  <si>
    <t>Delay of Gratification</t>
  </si>
  <si>
    <t>Dr. Mahjong</t>
  </si>
  <si>
    <t>老派玩家</t>
  </si>
  <si>
    <t>狂战士</t>
  </si>
  <si>
    <t>混淆视听</t>
  </si>
  <si>
    <t>Blurred Vision</t>
  </si>
  <si>
    <t>超算力</t>
  </si>
  <si>
    <t>Hyper Hashrate</t>
  </si>
  <si>
    <t>Attack on Giant</t>
  </si>
  <si>
    <t>深邃黑暗幻想</t>
  </si>
  <si>
    <t>Deep Dark Fantasy</t>
  </si>
  <si>
    <t>时间就是金钱</t>
  </si>
  <si>
    <t>台风天气</t>
  </si>
  <si>
    <t>Typhoon</t>
  </si>
  <si>
    <t>Cheap Warehouse</t>
  </si>
  <si>
    <t>流星雨</t>
  </si>
  <si>
    <t>Meteor Shower</t>
  </si>
  <si>
    <t>Advent Food</t>
  </si>
  <si>
    <t>无重力</t>
  </si>
  <si>
    <t>No Gravity</t>
  </si>
  <si>
    <t>戏法空间</t>
  </si>
  <si>
    <t>Trick Room</t>
  </si>
  <si>
    <t>SSSVIP</t>
  </si>
  <si>
    <t>奥义很爽</t>
  </si>
  <si>
    <t>Ultimate Impact</t>
  </si>
  <si>
    <t>三位一体</t>
  </si>
  <si>
    <t>成就标题</t>
  </si>
  <si>
    <t>成就</t>
  </si>
  <si>
    <t>完成一次胡牌</t>
  </si>
  <si>
    <t>Title</t>
  </si>
  <si>
    <t>Des</t>
  </si>
  <si>
    <t>道具使用音效</t>
  </si>
  <si>
    <t>每次使用道具时会播放音效，大部分道具音效为通用音效，个别道具可以配置特定的音效；
当道具不满足使用条件时点击需要播放错误音效；</t>
  </si>
  <si>
    <t>胡牌牌型预览</t>
  </si>
  <si>
    <t>在游戏场景有特定的按钮，点击会打开牌型预览窗口，窗口中不需要任何逻辑，仅有打开和关闭弹窗功能即可；
暂停状态中也可以打开或关闭窗口；
弹窗打开时有DOTween Move的效果；</t>
  </si>
  <si>
    <t>麻将牌库列表</t>
  </si>
  <si>
    <t>在游戏场景有特定的按钮，点击会打开麻将牌库列表，列表中显示当前还没有掉落的麻将牌；
麻将牌会根据花色分成3行，数字从小到大排列；
暂停状态中也可以打开或关闭窗口；
弹窗打开时有DOTween Move的效果；</t>
  </si>
  <si>
    <t>商店</t>
  </si>
  <si>
    <t>待定</t>
  </si>
  <si>
    <t>消行特效</t>
  </si>
  <si>
    <t>当要进行消行时会先等待0.6秒再消除，期间麻将牌会进行闪烁效果；
同时消除多行所有的行都会有这样的效果；
如果消除行中存在可以凑成顺字牌、刻字牌、或杠牌时，这些麻将牌上会播放指定的粒子特效；</t>
  </si>
  <si>
    <t>胡牌特效</t>
  </si>
  <si>
    <t>当达成胡牌条件时，不会立刻弹出胡牌弹窗，而是先将最后的牌加入胡牌区，同时在指定位置播放粒子特效和音效，2秒之后再弹出胡牌弹窗；
等待期间游戏也处于暂停状态；</t>
  </si>
  <si>
    <t>倒计时变色</t>
  </si>
  <si>
    <t>当每局游戏的剩余时间小于等于30秒，倒计时文本会变成红色且开始闪烁；</t>
  </si>
  <si>
    <t>胡牌窗口拆分</t>
  </si>
  <si>
    <t>胡牌窗口拆分成2个，一个窗口上显示胡牌的牌型和得分情况，另一个窗口上显示奖励；
实际表现为先弹出牌型得分窗口，点击窗口上的“继续”按钮则弹出奖励窗口，玩家可以在该窗口上选择奖励，奖励窗口上也有一个继续按钮，点击即开始下一轮游戏；</t>
  </si>
  <si>
    <t>优化道具、条约信息浮窗</t>
  </si>
  <si>
    <t>道具、条约的信息浮窗上添加道具和条约的图标；
鼠标移动到方块奖励时不需要弹出信息浮窗，仅道具和条约即可；
信息浮窗的位置会在目标对象的固定位置显示，如正上方，不会跟着鼠标位置移动；</t>
  </si>
  <si>
    <t>暂停文本</t>
  </si>
  <si>
    <t>暂停面板改为暂停文本提示，提示需要循环改变透明度以达成缓慢闪烁的效果；</t>
  </si>
  <si>
    <t>胡牌区杠牌位置</t>
  </si>
  <si>
    <t>调整杠牌在胡牌区的摆放位置</t>
  </si>
  <si>
    <t>分数文本表现</t>
  </si>
  <si>
    <t>得分增加时以数字滚动的形式表现</t>
  </si>
  <si>
    <t>难度选择</t>
  </si>
  <si>
    <t>普通和困难难度在游戏初始状态会随机给与1/2个条约；
游戏开始时只能选择简单模式，普通和困难模式不可选择，通关简单模式后可以选择普通模式，通关普通模式后可以选择困难模式；
选择游戏难度后的状态要记录，下次开启游戏时依然保留之前的模式；</t>
  </si>
  <si>
    <t>多语言功能</t>
  </si>
  <si>
    <t>增加多语言切换功能</t>
  </si>
  <si>
    <t>音效控制</t>
  </si>
  <si>
    <t>增加音效控制功能</t>
  </si>
  <si>
    <t>儿童餐</t>
    <phoneticPr fontId="5" type="noConversion"/>
  </si>
  <si>
    <t>复活石</t>
    <phoneticPr fontId="5" type="noConversion"/>
  </si>
  <si>
    <t>攻击的巨人</t>
    <phoneticPr fontId="6" type="noConversion"/>
  </si>
  <si>
    <t>便宜仓库</t>
    <phoneticPr fontId="6" type="noConversion"/>
  </si>
  <si>
    <t>临期食品</t>
    <phoneticPr fontId="6" type="noConversion"/>
  </si>
  <si>
    <t>朝九晚五</t>
    <phoneticPr fontId="6" type="noConversion"/>
  </si>
  <si>
    <t>沼泽地</t>
    <phoneticPr fontId="6" type="noConversion"/>
  </si>
  <si>
    <t>超超超贵宾</t>
    <phoneticPr fontId="6" type="noConversion"/>
  </si>
  <si>
    <t>胡牌时每种奖励可以选择2个</t>
    <phoneticPr fontId="6" type="noConversion"/>
  </si>
  <si>
    <t>不稳定电流</t>
    <phoneticPr fontId="6" type="noConversion"/>
  </si>
  <si>
    <t>新能源</t>
    <phoneticPr fontId="6" type="noConversion"/>
  </si>
  <si>
    <t>人人平等</t>
    <phoneticPr fontId="6" type="noConversion"/>
  </si>
  <si>
    <t>强者世界</t>
    <phoneticPr fontId="6" type="noConversion"/>
  </si>
  <si>
    <t>圈数参数暴露</t>
    <phoneticPr fontId="6" type="noConversion"/>
  </si>
  <si>
    <t>可以在setting面板自由调整凑成一圈所需的轮数</t>
    <phoneticPr fontId="6" type="noConversion"/>
  </si>
  <si>
    <t>Berserker</t>
    <phoneticPr fontId="6" type="noConversion"/>
  </si>
  <si>
    <t>Routine Work</t>
    <phoneticPr fontId="6" type="noConversion"/>
  </si>
  <si>
    <t>Bullet Time</t>
    <phoneticPr fontId="6" type="noConversion"/>
  </si>
  <si>
    <t>Swamp</t>
    <phoneticPr fontId="6" type="noConversion"/>
  </si>
  <si>
    <t>Log Bridge</t>
    <phoneticPr fontId="6" type="noConversion"/>
  </si>
  <si>
    <t>Unstable Current</t>
    <phoneticPr fontId="6" type="noConversion"/>
  </si>
  <si>
    <t>Renewable Energy</t>
    <phoneticPr fontId="6" type="noConversion"/>
  </si>
  <si>
    <t>All Men are Equal</t>
    <phoneticPr fontId="6" type="noConversion"/>
  </si>
  <si>
    <t>大革命</t>
    <phoneticPr fontId="6" type="noConversion"/>
  </si>
  <si>
    <t>Great Revolution</t>
    <phoneticPr fontId="6" type="noConversion"/>
  </si>
  <si>
    <t>Trinity</t>
    <phoneticPr fontId="6" type="noConversion"/>
  </si>
  <si>
    <t>Realpolitik</t>
    <phoneticPr fontId="6" type="noConversion"/>
  </si>
  <si>
    <t>Strong World</t>
    <phoneticPr fontId="6" type="noConversion"/>
  </si>
  <si>
    <t>Karate Master</t>
    <phoneticPr fontId="6" type="noConversion"/>
  </si>
  <si>
    <t>磁铁</t>
    <phoneticPr fontId="5" type="noConversion"/>
  </si>
  <si>
    <t>Wanted Poster</t>
    <phoneticPr fontId="5" type="noConversion"/>
  </si>
  <si>
    <t>悬赏令</t>
    <phoneticPr fontId="5" type="noConversion"/>
  </si>
  <si>
    <t>延迟满足</t>
    <phoneticPr fontId="6" type="noConversion"/>
  </si>
  <si>
    <t>独木桥</t>
    <phoneticPr fontId="6" type="noConversion"/>
  </si>
  <si>
    <t>子弹时间</t>
    <phoneticPr fontId="6" type="noConversion"/>
  </si>
  <si>
    <t>合纵连横</t>
    <phoneticPr fontId="6" type="noConversion"/>
  </si>
  <si>
    <t>麻将博士</t>
    <phoneticPr fontId="6" type="noConversion"/>
  </si>
  <si>
    <t>幸运瓶盖</t>
    <phoneticPr fontId="5" type="noConversion"/>
  </si>
  <si>
    <t>Lucky Cap</t>
    <phoneticPr fontId="5" type="noConversion"/>
  </si>
  <si>
    <t>漏斗</t>
    <phoneticPr fontId="5" type="noConversion"/>
  </si>
  <si>
    <t>Filter</t>
    <phoneticPr fontId="5" type="noConversion"/>
  </si>
  <si>
    <t>删除条约</t>
    <phoneticPr fontId="6" type="noConversion"/>
  </si>
  <si>
    <t>长按条约2秒可移除条约，确定后会在下次胡牌时删除</t>
    <phoneticPr fontId="6" type="noConversion"/>
  </si>
  <si>
    <t>Old School</t>
    <phoneticPr fontId="6" type="noConversion"/>
  </si>
  <si>
    <t>啊啊啊啊啊啊啊啊啊啊啊啊啊啊啊啊啊啊啊啊啊啊啊啊啊啊啊啊啊啊啊啊啊啊啊啊啊啊啊啊</t>
    <phoneticPr fontId="5" type="noConversion"/>
  </si>
  <si>
    <t>将上一组加入胡牌区的牌放回牌库</t>
    <phoneticPr fontId="5" type="noConversion"/>
  </si>
  <si>
    <t>下次消除的行不会进行判定而是会被直接移除，胡牌后恢复为正常牌库</t>
    <phoneticPr fontId="5" type="noConversion"/>
  </si>
  <si>
    <t>当前目标分数-20%</t>
    <phoneticPr fontId="5" type="noConversion"/>
  </si>
  <si>
    <t>强行消除底下5行方块</t>
    <phoneticPr fontId="5" type="noConversion"/>
  </si>
  <si>
    <t>当胡牌区牌组小于4组且牌库中存在可以组成刻子或顺子的牌时，随机将一组牌加入胡牌区</t>
    <phoneticPr fontId="5" type="noConversion"/>
  </si>
  <si>
    <t>当前目标的金币奖励x3</t>
    <phoneticPr fontId="5" type="noConversion"/>
  </si>
  <si>
    <t>每次消除多行时会视为一行来进行麻将判定</t>
    <phoneticPr fontId="6" type="noConversion"/>
  </si>
  <si>
    <t>空手道大师</t>
    <phoneticPr fontId="6" type="noConversion"/>
  </si>
  <si>
    <t>效果</t>
    <phoneticPr fontId="5" type="noConversion"/>
  </si>
  <si>
    <t>剪刀</t>
    <phoneticPr fontId="5" type="noConversion"/>
  </si>
  <si>
    <t>Scissors</t>
    <phoneticPr fontId="5" type="noConversion"/>
  </si>
  <si>
    <t>护照-筒子</t>
    <phoneticPr fontId="5" type="noConversion"/>
  </si>
  <si>
    <t>护照-万子</t>
    <phoneticPr fontId="5" type="noConversion"/>
  </si>
  <si>
    <t>护照-条子</t>
    <phoneticPr fontId="5" type="noConversion"/>
  </si>
  <si>
    <t>Passport - Tong</t>
    <phoneticPr fontId="5" type="noConversion"/>
  </si>
  <si>
    <t>Passport - Wan</t>
    <phoneticPr fontId="5" type="noConversion"/>
  </si>
  <si>
    <t>Passport - Tiao</t>
    <phoneticPr fontId="5" type="noConversion"/>
  </si>
  <si>
    <t>金苹果</t>
    <phoneticPr fontId="5" type="noConversion"/>
  </si>
  <si>
    <t>Golden Apple</t>
    <phoneticPr fontId="5" type="noConversion"/>
  </si>
  <si>
    <t>亚空间</t>
    <phoneticPr fontId="6" type="noConversion"/>
  </si>
  <si>
    <t>Subspace</t>
    <phoneticPr fontId="6" type="noConversion"/>
  </si>
  <si>
    <t>杠上开花</t>
    <phoneticPr fontId="6" type="noConversion"/>
  </si>
  <si>
    <t>海底捞月</t>
    <phoneticPr fontId="6" type="noConversion"/>
  </si>
  <si>
    <t>自然保护区</t>
    <phoneticPr fontId="6" type="noConversion"/>
  </si>
  <si>
    <t>绝杀</t>
    <phoneticPr fontId="6" type="noConversion"/>
  </si>
  <si>
    <t>千里走单骑</t>
    <phoneticPr fontId="6" type="noConversion"/>
  </si>
  <si>
    <t>香槟</t>
    <phoneticPr fontId="5" type="noConversion"/>
  </si>
  <si>
    <t>Champagne</t>
    <phoneticPr fontId="5" type="noConversion"/>
  </si>
  <si>
    <t>强行消除最上方3行方块</t>
    <phoneticPr fontId="5" type="noConversion"/>
  </si>
  <si>
    <t>Drop Bomb</t>
    <phoneticPr fontId="5" type="noConversion"/>
  </si>
  <si>
    <t>空投炸弹</t>
    <phoneticPr fontId="5" type="noConversion"/>
  </si>
  <si>
    <t>如果没有其他条约，每完成一圈胡牌，额外倍率x2，期间加入条约则失效</t>
    <phoneticPr fontId="6" type="noConversion"/>
  </si>
  <si>
    <t>初始</t>
    <phoneticPr fontId="5" type="noConversion"/>
  </si>
  <si>
    <t>垃圾筒</t>
    <phoneticPr fontId="5" type="noConversion"/>
  </si>
  <si>
    <t>效果</t>
    <phoneticPr fontId="6" type="noConversion"/>
  </si>
  <si>
    <t>所有形状的方块所提供的方块倍率变为3</t>
    <phoneticPr fontId="6" type="noConversion"/>
  </si>
  <si>
    <t>胡牌时每种奖励的数量减为1个，额外倍率x3</t>
    <phoneticPr fontId="6" type="noConversion"/>
  </si>
  <si>
    <t>每经过10秒即会强行消除最底下一行方块，额外倍率x2</t>
    <phoneticPr fontId="6" type="noConversion"/>
  </si>
  <si>
    <t>方块中的麻将牌面会随机旋转方向，额外倍率x2</t>
    <phoneticPr fontId="6" type="noConversion"/>
  </si>
  <si>
    <t>每轮游戏开始时，第1个方块固定是“巨人方块”，方块倍率+36</t>
    <phoneticPr fontId="6" type="noConversion"/>
  </si>
  <si>
    <t>胡牌时如果是平胡，额外倍率x0，且无奖励，其他牌型计算番数倍率时底数从2变为3</t>
    <phoneticPr fontId="6" type="noConversion"/>
  </si>
  <si>
    <t>Nature Reserve</t>
    <phoneticPr fontId="6" type="noConversion"/>
  </si>
  <si>
    <t>One Man Army</t>
    <phoneticPr fontId="6" type="noConversion"/>
  </si>
  <si>
    <t>Blooming on Kong</t>
    <phoneticPr fontId="6" type="noConversion"/>
  </si>
  <si>
    <t>Last Gasp Goal</t>
    <phoneticPr fontId="6" type="noConversion"/>
  </si>
  <si>
    <t>初始</t>
    <phoneticPr fontId="6" type="noConversion"/>
  </si>
  <si>
    <t>Bottom Moon</t>
    <phoneticPr fontId="6" type="noConversion"/>
  </si>
  <si>
    <t>背水一战</t>
    <phoneticPr fontId="6" type="noConversion"/>
  </si>
  <si>
    <t>A Last Stand</t>
    <phoneticPr fontId="6" type="noConversion"/>
  </si>
  <si>
    <t>迷雾</t>
    <phoneticPr fontId="6" type="noConversion"/>
  </si>
  <si>
    <t>Mist</t>
    <phoneticPr fontId="6" type="noConversion"/>
  </si>
  <si>
    <t>一气通贯</t>
    <phoneticPr fontId="6" type="noConversion"/>
  </si>
  <si>
    <t>包含4组刻子</t>
    <phoneticPr fontId="6" type="noConversion"/>
  </si>
  <si>
    <t>全是相同花色</t>
    <phoneticPr fontId="6" type="noConversion"/>
  </si>
  <si>
    <t>三色同顺</t>
    <phoneticPr fontId="6" type="noConversion"/>
  </si>
  <si>
    <t>筒、万、条都有相同数字的顺子</t>
    <phoneticPr fontId="6" type="noConversion"/>
  </si>
  <si>
    <t>基础牌型</t>
    <phoneticPr fontId="6" type="noConversion"/>
  </si>
  <si>
    <t>清老头</t>
    <phoneticPr fontId="6" type="noConversion"/>
  </si>
  <si>
    <t>全是1和9的数字</t>
    <phoneticPr fontId="6" type="noConversion"/>
  </si>
  <si>
    <t>对对</t>
    <phoneticPr fontId="6" type="noConversion"/>
  </si>
  <si>
    <t>平胡</t>
    <phoneticPr fontId="6" type="noConversion"/>
  </si>
  <si>
    <t>包含相同同花色1~9三组顺子</t>
    <phoneticPr fontId="6" type="noConversion"/>
  </si>
  <si>
    <t>完成一次番数≥6的胡牌牌型</t>
    <phoneticPr fontId="6" type="noConversion"/>
  </si>
  <si>
    <t>完成一次番数≥12的胡牌牌型</t>
    <phoneticPr fontId="6" type="noConversion"/>
  </si>
  <si>
    <t>在一局游戏中同时拥有≥20个方块</t>
    <phoneticPr fontId="6" type="noConversion"/>
  </si>
  <si>
    <t>完成一局游戏中同时拥有5个条约</t>
    <phoneticPr fontId="6" type="noConversion"/>
  </si>
  <si>
    <t>累计获得10000金币</t>
    <phoneticPr fontId="6" type="noConversion"/>
  </si>
  <si>
    <t>累计获得1000000金币</t>
    <phoneticPr fontId="6" type="noConversion"/>
  </si>
  <si>
    <t>累计获得100000金币</t>
    <phoneticPr fontId="6" type="noConversion"/>
  </si>
  <si>
    <t>完成一局游戏且期间未获得任何条约</t>
    <phoneticPr fontId="6" type="noConversion"/>
  </si>
  <si>
    <t>完成一局游戏且拥有方块数量≤8个</t>
    <phoneticPr fontId="6" type="noConversion"/>
  </si>
  <si>
    <t>在一局游戏中完成4圈胡牌</t>
    <phoneticPr fontId="6" type="noConversion"/>
  </si>
  <si>
    <t>解锁40种道具</t>
    <phoneticPr fontId="6" type="noConversion"/>
  </si>
  <si>
    <t>解锁40种条约</t>
    <phoneticPr fontId="6" type="noConversion"/>
  </si>
  <si>
    <t>累计获得80个条约</t>
    <phoneticPr fontId="6" type="noConversion"/>
  </si>
  <si>
    <t>在一局游戏中完成8圈胡牌</t>
    <phoneticPr fontId="6" type="noConversion"/>
  </si>
  <si>
    <t>充新随机奖励</t>
    <phoneticPr fontId="6" type="noConversion"/>
  </si>
  <si>
    <t>魔术手帕</t>
    <phoneticPr fontId="5" type="noConversion"/>
  </si>
  <si>
    <t>Magic Hanky</t>
    <phoneticPr fontId="5" type="noConversion"/>
  </si>
  <si>
    <t>每次胡牌时游戏时间奖励+20秒</t>
    <phoneticPr fontId="6" type="noConversion"/>
  </si>
  <si>
    <t>炸彈</t>
  </si>
  <si>
    <t>爆弾</t>
  </si>
  <si>
    <t>基础分</t>
    <phoneticPr fontId="5" type="noConversion"/>
  </si>
  <si>
    <t>方块倍率</t>
    <phoneticPr fontId="5" type="noConversion"/>
  </si>
  <si>
    <t>额外倍率</t>
    <phoneticPr fontId="5" type="noConversion"/>
  </si>
  <si>
    <t>分级</t>
    <phoneticPr fontId="6" type="noConversion"/>
  </si>
  <si>
    <t>三色同刻</t>
    <phoneticPr fontId="6" type="noConversion"/>
  </si>
  <si>
    <t>空投卡死</t>
    <phoneticPr fontId="6" type="noConversion"/>
  </si>
  <si>
    <t>仙酒数值问题</t>
    <phoneticPr fontId="6" type="noConversion"/>
  </si>
  <si>
    <t>神之救济卡死</t>
    <phoneticPr fontId="6" type="noConversion"/>
  </si>
  <si>
    <t>分数是负数</t>
    <phoneticPr fontId="6" type="noConversion"/>
  </si>
  <si>
    <t>儿童餐胡牌不停止</t>
    <phoneticPr fontId="6" type="noConversion"/>
  </si>
  <si>
    <t>复活石胡牌不停止</t>
    <phoneticPr fontId="6" type="noConversion"/>
  </si>
  <si>
    <t>坏计算器</t>
    <phoneticPr fontId="5" type="noConversion"/>
  </si>
  <si>
    <t>Broken Calculator</t>
    <phoneticPr fontId="5" type="noConversion"/>
  </si>
  <si>
    <t>平底锅</t>
    <phoneticPr fontId="5" type="noConversion"/>
  </si>
  <si>
    <t>Frying Pan</t>
    <phoneticPr fontId="5" type="noConversion"/>
  </si>
  <si>
    <t>Eraser</t>
    <phoneticPr fontId="5" type="noConversion"/>
  </si>
  <si>
    <t>倍率</t>
    <phoneticPr fontId="6" type="noConversion"/>
  </si>
  <si>
    <t>专家</t>
    <phoneticPr fontId="6" type="noConversion"/>
  </si>
  <si>
    <t>天下无双</t>
    <phoneticPr fontId="6" type="noConversion"/>
  </si>
  <si>
    <t>强行消除底部3行方块</t>
    <phoneticPr fontId="5" type="noConversion"/>
  </si>
  <si>
    <t>剩余游戏时间+45秒</t>
    <phoneticPr fontId="5" type="noConversion"/>
  </si>
  <si>
    <t>下一个方块形状会变为7格长条方块</t>
    <phoneticPr fontId="5" type="noConversion"/>
  </si>
  <si>
    <t>改变下一个方块的形状，保留方块数量和麻将牌面</t>
    <phoneticPr fontId="5" type="noConversion"/>
  </si>
  <si>
    <t>下一个方块形状会连续出现3次</t>
    <phoneticPr fontId="5" type="noConversion"/>
  </si>
  <si>
    <t>获得1个1格方块</t>
    <phoneticPr fontId="5" type="noConversion"/>
  </si>
  <si>
    <t>下次胡牌所选择的方块奖励会获得2个</t>
    <phoneticPr fontId="5" type="noConversion"/>
  </si>
  <si>
    <t>移除1个方块列表中倍率最大的方块</t>
    <phoneticPr fontId="5" type="noConversion"/>
  </si>
  <si>
    <t>获得800金币</t>
    <phoneticPr fontId="5" type="noConversion"/>
  </si>
  <si>
    <t>场上所有方块的麻将牌面被随机打乱</t>
    <phoneticPr fontId="5" type="noConversion"/>
  </si>
  <si>
    <t>当有胡牌区有刻子，且场上有这个刻子的牌，获取该牌形成杠牌（满足多个刻子时随机）</t>
    <phoneticPr fontId="5" type="noConversion"/>
  </si>
  <si>
    <t>变为上一个使用的道具</t>
    <phoneticPr fontId="5" type="noConversion"/>
  </si>
  <si>
    <t>60秒内只会出现1~3格的方块，仅本轮有效</t>
    <phoneticPr fontId="5" type="noConversion"/>
  </si>
  <si>
    <t>40秒内不会出现5格方块，仅本轮有效</t>
    <phoneticPr fontId="5" type="noConversion"/>
  </si>
  <si>
    <t>基础分+5，整局有效</t>
    <phoneticPr fontId="5" type="noConversion"/>
  </si>
  <si>
    <t>基础分+12，仅本轮有效</t>
    <phoneticPr fontId="5" type="noConversion"/>
  </si>
  <si>
    <t>如果下下个方块降落后胡牌，基础分+18，仅本轮有效</t>
    <phoneticPr fontId="5" type="noConversion"/>
  </si>
  <si>
    <t>基础分+24，下轮开始基础分-48（最低为1），下下轮恢复</t>
    <phoneticPr fontId="5" type="noConversion"/>
  </si>
  <si>
    <t>随机移除一个方块，剩余游戏时间+30秒，基础分+8，整局有效</t>
    <phoneticPr fontId="5" type="noConversion"/>
  </si>
  <si>
    <t>本次胡牌即完成一圈，方块速度+4</t>
    <phoneticPr fontId="5" type="noConversion"/>
  </si>
  <si>
    <t>方块速度-5，整局有效</t>
    <phoneticPr fontId="5" type="noConversion"/>
  </si>
  <si>
    <t>方块速度-12，仅本轮有效</t>
    <phoneticPr fontId="5" type="noConversion"/>
  </si>
  <si>
    <t>接下来10个方块速度变为1，仅本轮有效</t>
    <phoneticPr fontId="5" type="noConversion"/>
  </si>
  <si>
    <t>基础分+50%，整局有效</t>
    <phoneticPr fontId="5" type="noConversion"/>
  </si>
  <si>
    <t>如果游戏失败则会清空桌面，游戏时间+30秒，然后继续游戏，仅本轮有效</t>
    <phoneticPr fontId="5" type="noConversion"/>
  </si>
  <si>
    <t>接下来消除的3行不会进行判定而是会被直接移除，胡牌后恢复为正常牌库</t>
    <phoneticPr fontId="5" type="noConversion"/>
  </si>
  <si>
    <t>20秒内出现的方块会尽可能只有筒子牌，仅本轮有效</t>
    <phoneticPr fontId="5" type="noConversion"/>
  </si>
  <si>
    <t>20秒内出现的方块会尽可能只有万子牌，仅本轮有效</t>
    <phoneticPr fontId="5" type="noConversion"/>
  </si>
  <si>
    <t>20秒内出现的方块会尽可能只有条子牌，仅本轮有效</t>
    <phoneticPr fontId="5" type="noConversion"/>
  </si>
  <si>
    <t>方块列表中每有一种方块，基础分+3，整局有效</t>
    <phoneticPr fontId="5" type="noConversion"/>
  </si>
  <si>
    <t>20秒内每次消除行会给增加当前得分的5%，仅本轮有效</t>
    <phoneticPr fontId="5" type="noConversion"/>
  </si>
  <si>
    <t>基础分+20（整局有效），方块速度-10，游戏时间+100秒，强行消除底下4行方块</t>
    <phoneticPr fontId="5" type="noConversion"/>
  </si>
  <si>
    <t>每轮游戏开始时，胡牌基础分+60，之后每秒-1（最低为1），下轮开始重置</t>
    <phoneticPr fontId="6" type="noConversion"/>
  </si>
  <si>
    <t>当牌库中剩余的牌少于36张时游戏失败，额外倍率x2</t>
    <phoneticPr fontId="6" type="noConversion"/>
  </si>
  <si>
    <t>当有5格方块时生效，5格方块出现的概率提高200%，额外倍率x3</t>
    <phoneticPr fontId="6" type="noConversion"/>
  </si>
  <si>
    <t>方块下落时每2秒会随机往左或右移动1~2格，额外倍率x4</t>
    <phoneticPr fontId="6" type="noConversion"/>
  </si>
  <si>
    <t>随机移除一种花色所有的牌，方块倍率-24（最低为1）</t>
    <phoneticPr fontId="6" type="noConversion"/>
  </si>
  <si>
    <t>移除所有数字1和9的牌，方块倍率-14（最低为1）</t>
    <phoneticPr fontId="6" type="noConversion"/>
  </si>
  <si>
    <t>每组杠牌提供的番数+1，方块倍率-16（最低为1）</t>
    <phoneticPr fontId="6" type="noConversion"/>
  </si>
  <si>
    <t>胡牌时如牌型仅2种花面，视为“清一色”牌型，方块倍率-20（最低为1）</t>
    <phoneticPr fontId="6" type="noConversion"/>
  </si>
  <si>
    <t>每次将“刻子”牌加入胡牌区时，基础分+3，整局有效</t>
    <phoneticPr fontId="6" type="noConversion"/>
  </si>
  <si>
    <t>每轮游戏开始时，基础分-12（最低为1），每当一次性消除3行及以上时基础分+8，仅本轮有效</t>
    <phoneticPr fontId="6" type="noConversion"/>
  </si>
  <si>
    <t>每轮游戏开始时，剩余游戏时间变为95秒</t>
    <phoneticPr fontId="6" type="noConversion"/>
  </si>
  <si>
    <t>当场上堆叠的方块高度超过8时，方块下降速度变为5，游戏时间流逝速度减慢至20%</t>
    <phoneticPr fontId="6" type="noConversion"/>
  </si>
  <si>
    <t>每当向胡牌区添加一张”一条“，基础分+12，仅本轮有效</t>
    <phoneticPr fontId="6" type="noConversion"/>
  </si>
  <si>
    <t>方块有10%的概率以极快的速度下落，额外倍率x3</t>
    <phoneticPr fontId="6" type="noConversion"/>
  </si>
  <si>
    <t>方块速度+12，额外倍率x2</t>
    <phoneticPr fontId="6" type="noConversion"/>
  </si>
  <si>
    <t>胡牌时会自动随机选择奖励，并在游戏开始时强行使用所有可用道具，额外倍率x4</t>
    <phoneticPr fontId="6" type="noConversion"/>
  </si>
  <si>
    <t>方块落地后牌面会在15秒内逐渐变为黑色，额外倍率x3</t>
    <phoneticPr fontId="6" type="noConversion"/>
  </si>
  <si>
    <t>2^？</t>
    <phoneticPr fontId="6" type="noConversion"/>
  </si>
  <si>
    <t>完成一圈所需要的轮数-1，每次胡牌方块速度额外+2</t>
    <phoneticPr fontId="6" type="noConversion"/>
  </si>
  <si>
    <t>额外倍率x36，3轮游戏之后自动销毁</t>
    <phoneticPr fontId="6" type="noConversion"/>
  </si>
  <si>
    <t>消除行时麻将不会返回牌库，额外倍率x16</t>
    <phoneticPr fontId="6" type="noConversion"/>
  </si>
  <si>
    <t>ID</t>
  </si>
  <si>
    <t>名称 (简)</t>
  </si>
  <si>
    <t>名称 (繁)</t>
  </si>
  <si>
    <t>功能飲料</t>
  </si>
  <si>
    <t>香槟</t>
  </si>
  <si>
    <t>香檳</t>
  </si>
  <si>
    <t>類固醇</t>
  </si>
  <si>
    <t>氣球</t>
  </si>
  <si>
    <t>降落傘</t>
  </si>
  <si>
    <t>噴氣背包</t>
  </si>
  <si>
    <t>空投炸弹</t>
  </si>
  <si>
    <t>空投炸彈</t>
  </si>
  <si>
    <t>平底锅</t>
  </si>
  <si>
    <t>平底鍋</t>
  </si>
  <si>
    <t>微波爐</t>
  </si>
  <si>
    <t>鏡子</t>
  </si>
  <si>
    <t>漏斗</t>
  </si>
  <si>
    <t>試用小樣</t>
  </si>
  <si>
    <t>幸运瓶盖</t>
  </si>
  <si>
    <t>幸運瓶蓋</t>
  </si>
  <si>
    <t>剪刀</t>
  </si>
  <si>
    <t>快進按鈕</t>
  </si>
  <si>
    <t>垃圾筒</t>
  </si>
  <si>
    <t>垃圾桶</t>
  </si>
  <si>
    <t>魔术手帕</t>
  </si>
  <si>
    <t>魔術手帕</t>
  </si>
  <si>
    <t>磁铁</t>
  </si>
  <si>
    <t>磁鐵</t>
  </si>
  <si>
    <t>英文描述 (English)</t>
  </si>
  <si>
    <t>繁体中文描述 (Traditional Chinese)</t>
  </si>
  <si>
    <t>日文描述 (Japanese)</t>
  </si>
  <si>
    <t>基礎分+5，整局有效</t>
  </si>
  <si>
    <t>基礎点+5、ゲーム終了まで有効</t>
  </si>
  <si>
    <t>基礎分+12，僅本局有效</t>
  </si>
  <si>
    <t>基礎点+12、今局のみ有効</t>
  </si>
  <si>
    <t>如果再下一個方塊降落後胡牌，基礎分+18，僅本局有效</t>
  </si>
  <si>
    <t>次のブロック落下後に和了すれば、基礎点+18、今局のみ有効</t>
  </si>
  <si>
    <t>基礎分+24，下一局開始基礎分-48（最低為1），再下一局恢復</t>
  </si>
  <si>
    <t>基礎点+24、次局は基礎点-48（最低1）、その次の局で元に戻る</t>
  </si>
  <si>
    <t>方塊速度-5，整局有效</t>
  </si>
  <si>
    <t>ブロック落下速度-5、ゲーム終了まで有効</t>
  </si>
  <si>
    <t>方塊速度-12，僅本局有效</t>
  </si>
  <si>
    <t>ブロック落下速度-12、今局のみ有効</t>
  </si>
  <si>
    <t>接下來10個方塊速度變為1，僅本局有效</t>
  </si>
  <si>
    <t>次のブロック10個の間、落下速度が1になる、今局のみ有効</t>
  </si>
  <si>
    <t>Forcibly clear the bottom 3 lines</t>
  </si>
  <si>
    <t>強制消除底部3行方塊</t>
  </si>
  <si>
    <t>最下段の3ラインを強制的に消去する</t>
  </si>
  <si>
    <t>Forcibly clear the top 3 lines</t>
  </si>
  <si>
    <t>強制消除最上方3行方塊</t>
  </si>
  <si>
    <t>最上段の3ラインを強制的に消去する</t>
  </si>
  <si>
    <t>Remaining Time +45s</t>
  </si>
  <si>
    <t>剩餘遊戲時間+45秒</t>
  </si>
  <si>
    <t>残り時間+45秒</t>
  </si>
  <si>
    <t>隨機移除一個方塊，剩餘遊戲時間+30秒，基礎分+8，整局有效</t>
  </si>
  <si>
    <t>ブロックをランダムに1個削除、残り時間+30秒、基礎点+8（ゲーム終了まで有効）</t>
  </si>
  <si>
    <t>Return the last set added to the Winning Area back to the deck</t>
  </si>
  <si>
    <t>將上一組加入胡牌區的牌放回牌庫</t>
  </si>
  <si>
    <t>直前に和了エリアに加えた1組を山に戻す</t>
  </si>
  <si>
    <t>The next block becomes a 7-cell vertical bar</t>
  </si>
  <si>
    <t>下一個方塊形狀會變為7格長條方塊</t>
  </si>
  <si>
    <t>次のブロックが7マスの長方形（棒状）になる</t>
  </si>
  <si>
    <t>Change the shape of the next block, keeping its tile count and patterns</t>
  </si>
  <si>
    <t>改變下一個方塊的形狀，保留方塊數量和麻將牌面</t>
  </si>
  <si>
    <t>ブロックの数と牌の種類を維持したまま、次のブロックの形状を変える</t>
  </si>
  <si>
    <t>The next block shape will appear 3 times in a row</t>
  </si>
  <si>
    <t>下一個方塊形狀會連續出現3次</t>
  </si>
  <si>
    <t>次のブロックと同じ形状が3回連続で出現する</t>
  </si>
  <si>
    <t>40秒內不會出現5格方塊，僅本局有效</t>
  </si>
  <si>
    <t>40秒間、5マスブロックが出現しなくなる、今局のみ有効</t>
  </si>
  <si>
    <t>Obtain a 1-cell block</t>
  </si>
  <si>
    <t>獲得1個1格方塊</t>
  </si>
  <si>
    <t>1マスブロックを1個獲得する</t>
  </si>
  <si>
    <t>Get 2x Block Rewards for the chosen block upon the next win</t>
  </si>
  <si>
    <t>下次胡牌所選擇的方塊獎勵會獲得2個</t>
  </si>
  <si>
    <t>次の和了時、選択したブロックの報酬を2個獲得できる</t>
  </si>
  <si>
    <t>Remove 1 block with the highest multiplier from the inventory</t>
  </si>
  <si>
    <t>移除1個方塊列表中倍率最大的方塊</t>
  </si>
  <si>
    <t>所持ブロックの中から、倍率が最も高いものを1つ削除する</t>
  </si>
  <si>
    <t>本次胡牌即完成一圈，方塊速度+4</t>
  </si>
  <si>
    <t>今回の和了で現在の周を完了とする、ブロック落下速度+4</t>
  </si>
  <si>
    <t>Obtain 800 Gold</t>
  </si>
  <si>
    <t>獲得800金幣</t>
  </si>
  <si>
    <t>ゴールドを800獲得する</t>
  </si>
  <si>
    <t>Next cleared lines are removed directly without checking matches, restores after winning</t>
  </si>
  <si>
    <t>下次消除的行不會進行判定而是會被直接移除，胡牌後恢復為正常牌庫</t>
  </si>
  <si>
    <t>次に消去したラインは判定を行わず直接削除される、和了後に元に戻る</t>
  </si>
  <si>
    <t>Randomly shuffle the Mahjong patterns of all blocks on the board</t>
  </si>
  <si>
    <t>場上所有方塊的麻將牌面被隨機打亂</t>
  </si>
  <si>
    <t>フィールド上の全ブロックの麻雀牌の種類をランダムにシャッフルする</t>
  </si>
  <si>
    <t>If a Triplet exists in Winning Area and the tile is on board, pull it to form a Kong</t>
  </si>
  <si>
    <t>當胡牌區有刻子，且場上有這個刻子的牌，獲取該牌形成槓牌</t>
  </si>
  <si>
    <t>和了エリアに刻子があり、対応する牌が場にある場合、それを引き寄せて槓子（カンツ）にする</t>
  </si>
  <si>
    <t>名称EN</t>
    <phoneticPr fontId="5" type="noConversion"/>
  </si>
  <si>
    <t>Oven</t>
    <phoneticPr fontId="5" type="noConversion"/>
  </si>
  <si>
    <t>Weird Calculator</t>
    <phoneticPr fontId="5" type="noConversion"/>
  </si>
  <si>
    <t>優惠券</t>
  </si>
  <si>
    <t>超級炸彈</t>
  </si>
  <si>
    <t>黃金鏡</t>
  </si>
  <si>
    <t>儿童餐</t>
  </si>
  <si>
    <t>兒童餐</t>
  </si>
  <si>
    <t>聖誕禮物</t>
  </si>
  <si>
    <t>复活石</t>
  </si>
  <si>
    <t>復活石</t>
  </si>
  <si>
    <t>悬赏令</t>
  </si>
  <si>
    <t>懸賞令</t>
  </si>
  <si>
    <t>护照-筒子</t>
  </si>
  <si>
    <t>護照-筒子</t>
  </si>
  <si>
    <t>护照-万子</t>
  </si>
  <si>
    <t>護照-萬子</t>
  </si>
  <si>
    <t>护照-条子</t>
  </si>
  <si>
    <t>護照-條子</t>
  </si>
  <si>
    <t>點金手</t>
  </si>
  <si>
    <t>怪计算器</t>
  </si>
  <si>
    <t>怪計算器</t>
  </si>
  <si>
    <t>金苹果</t>
  </si>
  <si>
    <t>金蘋果</t>
  </si>
  <si>
    <t>神之救濟</t>
  </si>
  <si>
    <t>基礎分+50%，整局有效</t>
  </si>
  <si>
    <t>基礎点+50%、ゲーム終了まで有効</t>
  </si>
  <si>
    <t>Current Target Score -20%</t>
  </si>
  <si>
    <t>當前目標分數-20%</t>
  </si>
  <si>
    <t>現在の目標スコア-20%</t>
  </si>
  <si>
    <t>Forcibly clear the bottom 5 lines</t>
  </si>
  <si>
    <t>強制消除底部5行方塊</t>
  </si>
  <si>
    <t>最下段の5ラインを強制的に消去する</t>
  </si>
  <si>
    <t>Duplicate the effect of the last used Item</t>
  </si>
  <si>
    <t>變為上一個使用的道具</t>
  </si>
  <si>
    <t>直前に使用したアイテムの効果をコピーする</t>
  </si>
  <si>
    <t>60秒內只會出現1~3格的方塊，僅本局有效</t>
  </si>
  <si>
    <t>60秒間、1～3マスのブロックしか出現しなくなる、今局のみ有効</t>
  </si>
  <si>
    <t>If Winning Area has &lt;4 sets, add a random Set to the Winning Area</t>
  </si>
  <si>
    <t>當胡牌區牌組小於4組且牌庫符合條件時，隨機將一組牌加入胡牌區</t>
  </si>
  <si>
    <t>和了エリアが4組未満の場合、ランダムな1組を和了エリアに追加する</t>
  </si>
  <si>
    <t>如果遊戲失敗則會清空桌面，遊戲時間+30秒，然後繼續遊戲，僅本局有效</t>
  </si>
  <si>
    <t>ゲームオーバー時、盤面を一掃し時間+30秒で再開する、今局のみ有効</t>
  </si>
  <si>
    <t>Next 3 cleared lines are removed directly without checking matches, restores after winning</t>
  </si>
  <si>
    <t>接下來消除的3行不會進行判定而是會被直接移除，胡牌後恢復為正常牌庫</t>
  </si>
  <si>
    <t>次に消去した3回のラインは判定を行わず直接削除される、和了後に元に戻る</t>
  </si>
  <si>
    <t>Gold Reward for the current target x3</t>
  </si>
  <si>
    <t>當前目標的金幣獎勵x3</t>
  </si>
  <si>
    <t>現在の目標のゴールド報酬が3倍になる</t>
  </si>
  <si>
    <t>20秒內出現的方塊會盡可能只有筒子牌，僅本局有效</t>
  </si>
  <si>
    <t>20秒間、出現するブロックが可能な限り筒子（ピンズ）のみになる、今局のみ有効</t>
  </si>
  <si>
    <t>20秒內出現的方塊會盡可能只有萬子牌，僅本局有效</t>
  </si>
  <si>
    <t>20秒間、出現するブロックが可能な限り萬子（マンズ）のみになる、今局のみ有効</t>
  </si>
  <si>
    <t>20秒內出現的方塊會盡可能只有條子牌，僅本局有效</t>
  </si>
  <si>
    <t>20秒間、出現するブロックが可能な限り索子（ソーズ）のみになる、今局のみ有効</t>
  </si>
  <si>
    <t>20秒內每次消除行會增加金幣總數的1%，僅本局有效</t>
  </si>
  <si>
    <t>20秒間、ラインを消去するたびに総ゴールドの1%を獲得、今局のみ有効</t>
  </si>
  <si>
    <t>20秒內每次消除行會增加當前得分的5%，僅本局有效</t>
  </si>
  <si>
    <t>20秒間、ラインを消去するたびに現在スコアの5%を加算、今局のみ有効</t>
  </si>
  <si>
    <t>Base Score +3 for every unique block type in inventory (entire game)</t>
  </si>
  <si>
    <t>方塊列表中每有一種方塊，基礎分+3，整局有效</t>
  </si>
  <si>
    <t>所持しているブロックの種類1つにつき基礎点+3、ゲーム終了まで有効</t>
  </si>
  <si>
    <t>基礎分+20（整局有效），方塊速度-10，遊戲時間+100秒，強制消除底部4行方塊</t>
  </si>
  <si>
    <t>基礎点+20（ゲーム終了まで有効）、落下速度-10、時間+100秒、最下段4ライン消去</t>
  </si>
  <si>
    <t>ジュース</t>
  </si>
  <si>
    <t>エナドリ</t>
  </si>
  <si>
    <t>シャンパン</t>
  </si>
  <si>
    <t>ステロイド</t>
  </si>
  <si>
    <t>風船</t>
  </si>
  <si>
    <t>パラシュート</t>
  </si>
  <si>
    <t>ジェットパック</t>
  </si>
  <si>
    <t>空爆</t>
  </si>
  <si>
    <t>砂時計</t>
  </si>
  <si>
    <t>フライパン</t>
  </si>
  <si>
    <t>消しゴム</t>
  </si>
  <si>
    <t>オベリスク</t>
  </si>
  <si>
    <t>電子レンジ</t>
  </si>
  <si>
    <t>鏡</t>
  </si>
  <si>
    <t>フィルター</t>
  </si>
  <si>
    <t>試供品</t>
  </si>
  <si>
    <t>ラッキーキャップ</t>
  </si>
  <si>
    <t>ハサミ</t>
  </si>
  <si>
    <t>早送り</t>
  </si>
  <si>
    <t>商品券</t>
  </si>
  <si>
    <t>ゴミ箱</t>
  </si>
  <si>
    <t>魔法のハンカチ</t>
  </si>
  <si>
    <t>磁石</t>
  </si>
  <si>
    <t>エリクサー</t>
  </si>
  <si>
    <t>クーポン</t>
  </si>
  <si>
    <t>超爆弾</t>
  </si>
  <si>
    <t>お子様ランチ</t>
  </si>
  <si>
    <t>クリスマスギフト</t>
  </si>
  <si>
    <t>大ゴミ箱</t>
  </si>
  <si>
    <t>手配書</t>
  </si>
  <si>
    <t>ミダスの手</t>
  </si>
  <si>
    <t>金のリンゴ</t>
  </si>
  <si>
    <t>神の救済</t>
  </si>
  <si>
    <t>名称JP</t>
    <phoneticPr fontId="5" type="noConversion"/>
  </si>
  <si>
    <r>
      <t>パスポート</t>
    </r>
    <r>
      <rPr>
        <sz val="11"/>
        <color theme="1"/>
        <rFont val="宋体"/>
        <family val="3"/>
        <charset val="134"/>
      </rPr>
      <t>・</t>
    </r>
    <r>
      <rPr>
        <sz val="11"/>
        <color theme="1"/>
        <rFont val="等线"/>
        <family val="3"/>
        <charset val="134"/>
      </rPr>
      <t>筒</t>
    </r>
  </si>
  <si>
    <r>
      <t>パスポート</t>
    </r>
    <r>
      <rPr>
        <sz val="11"/>
        <color theme="1"/>
        <rFont val="宋体"/>
        <family val="3"/>
        <charset val="134"/>
      </rPr>
      <t>・</t>
    </r>
    <r>
      <rPr>
        <sz val="11"/>
        <color theme="1"/>
        <rFont val="等线"/>
        <family val="3"/>
        <charset val="134"/>
      </rPr>
      <t>萬</t>
    </r>
  </si>
  <si>
    <r>
      <t>パスポート</t>
    </r>
    <r>
      <rPr>
        <sz val="11"/>
        <color theme="1"/>
        <rFont val="宋体"/>
        <family val="3"/>
        <charset val="134"/>
      </rPr>
      <t>・</t>
    </r>
    <r>
      <rPr>
        <sz val="11"/>
        <color theme="1"/>
        <rFont val="等线"/>
        <family val="3"/>
        <charset val="134"/>
      </rPr>
      <t>索</t>
    </r>
  </si>
  <si>
    <t>Randomly remove 1 block, Time +30s, Base Score +8 (entire game)</t>
    <phoneticPr fontId="5" type="noConversion"/>
  </si>
  <si>
    <t>Base Score +5 (entire game)</t>
    <phoneticPr fontId="5" type="noConversion"/>
  </si>
  <si>
    <t>Block Drop Speed -5 (entire game)</t>
    <phoneticPr fontId="5" type="noConversion"/>
  </si>
  <si>
    <t>Base Score +50% (entire game)</t>
    <phoneticPr fontId="5" type="noConversion"/>
  </si>
  <si>
    <t>Base Score +20 (entire game), Drop Speed -10, Time +100s, clear bottom 4 lines</t>
    <phoneticPr fontId="5" type="noConversion"/>
  </si>
  <si>
    <t>Base Score +12 (this round only)</t>
  </si>
  <si>
    <t>If you win after the next block drops, Base Score +18 (this round only)</t>
  </si>
  <si>
    <t>Block Drop Speed -12 (this round only)</t>
  </si>
  <si>
    <t>Drop Speed becomes 1 for the next 10 blocks (this round only)</t>
  </si>
  <si>
    <t>No 5-cell blocks will appear for 40s (this round only)</t>
  </si>
  <si>
    <t>Only 1-3 cell blocks will appear for 60s (this round only)</t>
  </si>
  <si>
    <t>If you lose: Clear board, Time +30s, and continue game (this round only)</t>
  </si>
  <si>
    <t>For 20s, blocks will spawn mostly with Tong (Circle) tiles (this round only)</t>
  </si>
  <si>
    <t>For 20s, blocks will spawn mostly with Wan (Character) tiles (this round only)</t>
  </si>
  <si>
    <t>For 20s, blocks will spawn mostly with Tiao (Bamboo) tiles (this round only)</t>
  </si>
  <si>
    <t>For 20s, each line cleared adds 1% to Total Gold (this round only)</t>
  </si>
  <si>
    <t>For 20s, each line cleared adds 5% to Current Score (this round only)</t>
  </si>
  <si>
    <t>Base Score +24. Next round Base Score -48 (min 1), restores the round after</t>
    <phoneticPr fontId="5" type="noConversion"/>
  </si>
  <si>
    <t>Winning this round completes the current streak, Block Drop Speed +4</t>
    <phoneticPr fontId="5" type="noConversion"/>
  </si>
  <si>
    <t>怪しい電卓</t>
    <phoneticPr fontId="5" type="noConversion"/>
  </si>
  <si>
    <t>Golden Mirror</t>
    <phoneticPr fontId="5" type="noConversion"/>
  </si>
  <si>
    <t>金の鏡</t>
    <phoneticPr fontId="5" type="noConversion"/>
  </si>
  <si>
    <t>&lt;color=#3296DC&gt;基礎点+3&lt;/color&gt;</t>
  </si>
  <si>
    <t>方块速度</t>
    <phoneticPr fontId="5" type="noConversion"/>
  </si>
  <si>
    <t>剩余时间</t>
    <phoneticPr fontId="5" type="noConversion"/>
  </si>
  <si>
    <t>&lt;color=#3296DC&gt;基礎点+3&lt;/color&gt;。</t>
  </si>
  <si>
    <t>&lt;color=#FF595E&gt;方块倍率-16&lt;/color&gt;</t>
    <phoneticPr fontId="5" type="noConversion"/>
  </si>
  <si>
    <t>&lt;color=#FF595E&gt;方塊倍率-16&lt;/color&gt;</t>
    <phoneticPr fontId="5" type="noConversion"/>
  </si>
  <si>
    <t>&lt;color=#3296DC&gt;Base Point +3&lt;/color&gt;</t>
    <phoneticPr fontId="5" type="noConversion"/>
  </si>
  <si>
    <t>&lt;color=#FF595E&gt;ブロック倍率-16&lt;/color&gt;</t>
    <phoneticPr fontId="5" type="noConversion"/>
  </si>
  <si>
    <t>&lt;color=#FF595E&gt;Block Mult -16&lt;/color&gt;</t>
    <phoneticPr fontId="5" type="noConversion"/>
  </si>
  <si>
    <t>&lt;color=#E682E6&gt;额外倍率x3&lt;/color&gt;</t>
    <phoneticPr fontId="5" type="noConversion"/>
  </si>
  <si>
    <t>&lt;color=#E682E6&gt;額外倍率x3&lt;/color&gt;</t>
    <phoneticPr fontId="5" type="noConversion"/>
  </si>
  <si>
    <t>&lt;color=#E682E6&gt;Ex Mult x3&lt;/color&gt;</t>
    <phoneticPr fontId="5" type="noConversion"/>
  </si>
  <si>
    <t>&lt;color=#E682E6&gt;追加倍率x3&lt;/color&gt;</t>
    <phoneticPr fontId="5" type="noConversion"/>
  </si>
  <si>
    <t>&lt;color=#36BA98&gt;方块速度+10&lt;/color&gt;</t>
    <phoneticPr fontId="5" type="noConversion"/>
  </si>
  <si>
    <t>&lt;color=#36BA98&gt;游戏时间+10秒&lt;/color&gt;</t>
    <phoneticPr fontId="5" type="noConversion"/>
  </si>
  <si>
    <t>&lt;color=#36BA98&gt;Block Speed +10&lt;/color&gt;</t>
    <phoneticPr fontId="5" type="noConversion"/>
  </si>
  <si>
    <t>&lt;color=#36BA98&gt;ブロック速度+10&lt;/color&gt;</t>
    <phoneticPr fontId="5" type="noConversion"/>
  </si>
  <si>
    <t>&lt;color=#36BA98&gt;遊戲時間+40秒&lt;/color&gt;</t>
    <phoneticPr fontId="5" type="noConversion"/>
  </si>
  <si>
    <t>&lt;color=#36BA98&gt;Game Time +40s&lt;/color&gt;</t>
    <phoneticPr fontId="5" type="noConversion"/>
  </si>
  <si>
    <t>&lt;color=#36BA98&gt;ゲーム時間+40秒&lt;/color&gt;</t>
    <phoneticPr fontId="5" type="noConversion"/>
  </si>
  <si>
    <t>&lt;color=#36BA98&gt;方塊速度-16&lt;/color&gt;</t>
    <phoneticPr fontId="5" type="noConversion"/>
  </si>
  <si>
    <t>&lt;color=#3296DC&gt;基础分+5&lt;/color&gt;，整局有效</t>
    <phoneticPr fontId="5" type="noConversion"/>
  </si>
  <si>
    <t>&lt;color=#3296DC&gt;基础分+12&lt;/color&gt;，仅本轮有效</t>
    <phoneticPr fontId="5" type="noConversion"/>
  </si>
  <si>
    <t>如果下下个方块降落后胡牌，&lt;color=#3296DC&gt;基础分+18&lt;/color&gt;，仅本轮有效</t>
    <phoneticPr fontId="5" type="noConversion"/>
  </si>
  <si>
    <t>&lt;color=#3296DC&gt;基础分+24&lt;/color&gt;，下轮开始&lt;color=#3296DC&gt;基础分-48&lt;/color&gt;（最低为1），下下轮恢复</t>
    <phoneticPr fontId="5" type="noConversion"/>
  </si>
  <si>
    <t>&lt;color=#36BA98&gt;方块速度-5&lt;/color&gt;，整局有效</t>
    <phoneticPr fontId="5" type="noConversion"/>
  </si>
  <si>
    <t>&lt;color=#36BA98&gt;方块速度-12&lt;/color&gt;，仅本轮有效</t>
    <phoneticPr fontId="5" type="noConversion"/>
  </si>
  <si>
    <t>接下来10个&lt;color=#36BA98&gt;方块速度&lt;/color&gt;变为1，仅本轮有效</t>
    <phoneticPr fontId="5" type="noConversion"/>
  </si>
  <si>
    <t>随机移除一个方块，剩余&lt;color=#36BA98&gt;游戏时间+30秒&lt;/color&gt;，&lt;color=#3296DC&gt;基础分+8&lt;/color&gt;，整局有效</t>
    <phoneticPr fontId="5" type="noConversion"/>
  </si>
  <si>
    <t>本次胡牌即完成一圈，&lt;color=#36BA98&gt;方块速度+4&lt;/color&gt;</t>
    <phoneticPr fontId="5" type="noConversion"/>
  </si>
  <si>
    <t>&lt;color=#3296DC&gt;基础分+50%&lt;/color&gt;，整局有效</t>
    <phoneticPr fontId="5" type="noConversion"/>
  </si>
  <si>
    <t>如果游戏失败则会清空桌面，&lt;color=#36BA98&gt;游戏时间+30秒&lt;/color&gt;，然后继续游戏，仅本轮有效</t>
    <phoneticPr fontId="5" type="noConversion"/>
  </si>
  <si>
    <t>当前目标奖励的金币x3</t>
    <phoneticPr fontId="5" type="noConversion"/>
  </si>
  <si>
    <t>20秒内每次消除行会给增加金币总数的2%，仅本轮有效</t>
    <phoneticPr fontId="5" type="noConversion"/>
  </si>
  <si>
    <t>方块列表中每有一种方块，&lt;color=#3296DC&gt;基础分+3&lt;/color&gt;，整局有效</t>
    <phoneticPr fontId="5" type="noConversion"/>
  </si>
  <si>
    <t>&lt;color=#3296DC&gt;基础分+20&lt;/color&gt;（整局有效），&lt;color=#36BA98&gt;方块速度-10&lt;/color&gt;，&lt;color=#36BA98&gt;游戏时间+100秒&lt;/color&gt;，强行消除底下4行方块</t>
    <phoneticPr fontId="5" type="noConversion"/>
  </si>
  <si>
    <t>剩余&lt;color=#36BA98&gt;游戏时间+45秒&lt;/color&gt;</t>
    <phoneticPr fontId="5" type="noConversion"/>
  </si>
  <si>
    <t>&lt;color=#3296DC&gt;基礎分+5&lt;/color&gt;，整局有效</t>
  </si>
  <si>
    <t>&lt;color=#3296DC&gt;基礎分+12&lt;/color&gt;，僅本局有效</t>
  </si>
  <si>
    <t>如果再下一個方塊降落後胡牌，&lt;color=#3296DC&gt;基礎分+18&lt;/color&gt;，僅本局有效</t>
  </si>
  <si>
    <t>&lt;color=#3296DC&gt;基礎分+24&lt;/color&gt;，下一局開始&lt;color=#3296DC&gt;基礎分-48&lt;/color&gt;（最低為1），再下一局恢復</t>
  </si>
  <si>
    <t>&lt;color=#36BA98&gt;方塊速度-5&lt;/color&gt;，整局有效</t>
  </si>
  <si>
    <t>&lt;color=#36BA98&gt;方塊速度-12&lt;/color&gt;，僅本局有效</t>
  </si>
  <si>
    <t>接下來10個&lt;color=#36BA98&gt;方塊速度&lt;/color&gt;變為1，僅本局有效</t>
  </si>
  <si>
    <t>剩餘&lt;color=#36BA98&gt;遊戲時間+45秒&lt;/color&gt;</t>
  </si>
  <si>
    <t>隨機移除一個方塊，剩餘&lt;color=#36BA98&gt;遊戲時間+30秒&lt;/color&gt;，&lt;color=#3296DC&gt;基礎分+8&lt;/color&gt;，整局有效</t>
  </si>
  <si>
    <t>本次胡牌即完成一圈，&lt;color=#36BA98&gt;方塊速度+4&lt;/color&gt;</t>
  </si>
  <si>
    <t>當胡牌區有刻子，且場上有這個刻子的牌，獲取該牌形成槓牌（滿足多個刻子時隨機）</t>
  </si>
  <si>
    <t>Remaining &lt;color=#36BA98&gt;Time +45s&lt;/color&gt;</t>
  </si>
  <si>
    <t>&lt;color=#3296DC&gt;基礎点+5&lt;/color&gt;、ゲーム終了まで有効</t>
  </si>
  <si>
    <t>&lt;color=#3296DC&gt;基礎点+12&lt;/color&gt;、今局のみ有効</t>
  </si>
  <si>
    <t>次のブロック落下後に和了すれば、&lt;color=#3296DC&gt;基礎点+18&lt;/color&gt;、今局のみ有効</t>
  </si>
  <si>
    <t>&lt;color=#3296DC&gt;基礎点+24&lt;/color&gt;、次局は&lt;color=#3296DC&gt;基礎点-48&lt;/color&gt;（最低1）、その次の局で元に戻る</t>
  </si>
  <si>
    <t>&lt;color=#36BA98&gt;ブロック落下速度-5&lt;/color&gt;、ゲーム終了まで有効</t>
  </si>
  <si>
    <t>&lt;color=#36BA98&gt;ブロック落下速度-12&lt;/color&gt;、今局のみ有効</t>
  </si>
  <si>
    <t>次のブロック10個の間、&lt;color=#36BA98&gt;落下速度&lt;/color&gt;が1になる、今局のみ有効</t>
  </si>
  <si>
    <t>残り&lt;color=#36BA98&gt;時間+45秒&lt;/color&gt;</t>
  </si>
  <si>
    <t>ブロックをランダムに1個削除、残り&lt;color=#36BA98&gt;時間+30秒&lt;/color&gt;、&lt;color=#3296DC&gt;基礎点+8&lt;/color&gt;（ゲーム終了まで有効）</t>
  </si>
  <si>
    <t>今回の和了で現在の周を完了とする、&lt;color=#36BA98&gt;ブロック落下速度+4&lt;/color&gt;</t>
  </si>
  <si>
    <t>&lt;color=#3296DC&gt;基礎分+50%&lt;/color&gt;，整局有效</t>
  </si>
  <si>
    <t>&lt;color=#3296DC&gt;基礎点+50%&lt;/color&gt;、ゲーム終了まで有効</t>
  </si>
  <si>
    <t>當胡牌區牌組小於4組且牌庫中存在可以組成刻子或順子的牌時，隨機將一組牌加入胡牌區</t>
  </si>
  <si>
    <t>如果遊戲失敗則會清空桌面，&lt;color=#36BA98&gt;遊戲時間+30秒&lt;/color&gt;，然後繼續遊戲，僅本局有效</t>
  </si>
  <si>
    <t>ゲームオーバー時、盤面を一掃し&lt;color=#36BA98&gt;時間+30秒&lt;/color&gt;で再開する、今局のみ有効</t>
  </si>
  <si>
    <t>20秒內每次消除行會給增加金幣總數的2%，僅本局有效</t>
  </si>
  <si>
    <t>20秒間、ラインを消去するたびに総ゴールドの2%を獲得、今局のみ有効</t>
  </si>
  <si>
    <t>20秒內每次消除行會給增加當前得分的5%，僅本局有效</t>
  </si>
  <si>
    <t>方塊列表中每有一種方塊，&lt;color=#3296DC&gt;基礎分+3&lt;/color&gt;，整局有效</t>
  </si>
  <si>
    <t>所持しているブロックの種類1つにつき&lt;color=#3296DC&gt;基礎点+3&lt;/color&gt;、ゲーム終了まで有効</t>
  </si>
  <si>
    <t>&lt;color=#3296DC&gt;基礎分+20&lt;/color&gt;（整局有效），&lt;color=#36BA98&gt;方塊速度-10&lt;/color&gt;，&lt;color=#36BA98&gt;遊戲時間+100秒&lt;/color&gt;，強制消除底部4行方塊</t>
  </si>
  <si>
    <t>&lt;color=#3296DC&gt;基礎点+20&lt;/color&gt;（ゲーム終了まで有効）、&lt;color=#36BA98&gt;落下速度-10&lt;/color&gt;、&lt;color=#36BA98&gt;時間+100秒&lt;/color&gt;、最下段4ライン消去</t>
  </si>
  <si>
    <t>Randomly remove 1 block, &lt;color=#36BA98&gt;Time +30s&lt;/color&gt;, &lt;color=#3296DC&gt;Base Point +8&lt;/color&gt; (entire game)</t>
  </si>
  <si>
    <t>If you win after the next block drops, &lt;color=#3296DC&gt;Base Point +18&lt;/color&gt; (this round only)</t>
  </si>
  <si>
    <t>If you lose: Clear board, &lt;color=#36BA98&gt;Time +30s&lt;/color&gt;, and continue game (this round only)</t>
  </si>
  <si>
    <t>For 20s, each line cleared adds 2% to Total Gold (this round only)</t>
  </si>
  <si>
    <t>For 20s, blocks will spawn mostly with Tong (Circle) tiles (this round only)</t>
    <phoneticPr fontId="5" type="noConversion"/>
  </si>
  <si>
    <t>&lt;color=#3296DC&gt;Base Point +12&lt;/color&gt; (this round only)</t>
    <phoneticPr fontId="5" type="noConversion"/>
  </si>
  <si>
    <t>&lt;color=#3296DC&gt;Base Point +3&lt;/color&gt; for every unique block type in inventory (entire game)</t>
    <phoneticPr fontId="5" type="noConversion"/>
  </si>
  <si>
    <t>&lt;color=#3296DC&gt;Base Point +5&lt;/color&gt; (entire game)</t>
    <phoneticPr fontId="5" type="noConversion"/>
  </si>
  <si>
    <t>&lt;color=#3296DC&gt;Base Point +50%&lt;/color&gt; (entire game)</t>
    <phoneticPr fontId="5" type="noConversion"/>
  </si>
  <si>
    <t>&lt;color=#36BA98&gt;Block Speed -5&lt;/color&gt; (entire game)</t>
    <phoneticPr fontId="5" type="noConversion"/>
  </si>
  <si>
    <t>&lt;color=#36BA98&gt;Block Speed -12&lt;/color&gt; (this round only)</t>
    <phoneticPr fontId="5" type="noConversion"/>
  </si>
  <si>
    <t>&lt;color=#36BA98&gt;Block Speed&lt;/color&gt; becomes 1 for the next 10 blocks (this round only)</t>
    <phoneticPr fontId="5" type="noConversion"/>
  </si>
  <si>
    <t>&lt;color=#3296DC&gt;Base Point +20&lt;/color&gt; (entire game), &lt;color=#36BA98&gt;Block Speed -10&lt;/color&gt;, &lt;color=#36BA98&gt;Time +100s&lt;/color&gt;, clear bottom 4 lines</t>
    <phoneticPr fontId="5" type="noConversion"/>
  </si>
  <si>
    <t>下次消除的行不会进行判定而是会被直接移除，下轮游戏恢复</t>
    <phoneticPr fontId="5" type="noConversion"/>
  </si>
  <si>
    <t>接下来消除的3行不会进行判定而是会被直接移除，下轮游戏恢复</t>
    <phoneticPr fontId="5" type="noConversion"/>
  </si>
  <si>
    <t>当胡牌区未满且牌库中存在可以组成刻子或顺子的牌时，随机将一组牌加入胡牌区</t>
    <phoneticPr fontId="5" type="noConversion"/>
  </si>
  <si>
    <t>If Winning Area is not full and the deck contains any Triplet or Sequence, add a random Set</t>
    <phoneticPr fontId="5" type="noConversion"/>
  </si>
  <si>
    <t>Next 3 cleared lines are removed directly without check (restores next round)</t>
    <phoneticPr fontId="5" type="noConversion"/>
  </si>
  <si>
    <t>Next 1 cleared line is removed directly without check (restores next round)</t>
    <phoneticPr fontId="5" type="noConversion"/>
  </si>
  <si>
    <t>和了エリアに空きがあり、山に刻子または順子を作れる牌がある場合、ランダムな1組を追加する</t>
    <phoneticPr fontId="5" type="noConversion"/>
  </si>
  <si>
    <t>强行消除底下6行方块</t>
    <phoneticPr fontId="5" type="noConversion"/>
  </si>
  <si>
    <t>当牌库中的麻将即将耗尽时胡牌，额外倍率x8</t>
    <phoneticPr fontId="6" type="noConversion"/>
  </si>
  <si>
    <t>喷气背包</t>
    <phoneticPr fontId="5" type="noConversion"/>
  </si>
  <si>
    <t>剩余时间小于3秒时，基础分+60，仅本轮有效</t>
    <phoneticPr fontId="6" type="noConversion"/>
  </si>
  <si>
    <t>&lt;color=#3296DC&gt;基础分+3&lt;/color&gt;</t>
    <phoneticPr fontId="5" type="noConversion"/>
  </si>
  <si>
    <t>&lt;color=#36BA98&gt;方塊速度+12&lt;/color&gt;，&lt;color=#E682E6&gt;額外倍率x2&lt;/color&gt;</t>
  </si>
  <si>
    <t>&lt;color=#36BA98&gt;ブロック落下速度+12&lt;/color&gt;、&lt;color=#E682E6&gt;追加倍率x2&lt;/color&gt;</t>
  </si>
  <si>
    <t>每輪遊戲開始時，&lt;color=#3296DC&gt;基礎分+60&lt;/color&gt;，之後每秒-1（最低為1），下輪開始重置</t>
  </si>
  <si>
    <t>各局開始時、&lt;color=#3296DC&gt;基礎点+60&lt;/color&gt;。その後1秒毎に-1（最低1）、次局でリセット。</t>
  </si>
  <si>
    <t>每次胡牌時&lt;color=#36BA98&gt;遊戲時間&lt;/color&gt;獎勵+20秒</t>
  </si>
  <si>
    <t>和了時、&lt;color=#36BA98&gt;時間&lt;/color&gt;報酬+20秒。</t>
  </si>
  <si>
    <t>當有5格方塊時生效，5格方塊出現的概率提高200%，&lt;color=#E682E6&gt;額外倍率x3&lt;/color&gt;</t>
  </si>
  <si>
    <t>Active when holding 5-cell blocks: Spawn rate +200%, &lt;color=#E682E6&gt;Extra Multiplier x3&lt;/color&gt;.</t>
  </si>
  <si>
    <t>5マスブロック所持時有効：出現率+200%、&lt;color=#E682E6&gt;追加倍率x3&lt;/color&gt;。</t>
  </si>
  <si>
    <t>當牌庫中剩餘的牌少於36張時遊戲失敗，&lt;color=#E682E6&gt;額外倍率x2&lt;/color&gt;</t>
  </si>
  <si>
    <t>Game Over if deck has &lt;36 tiles. &lt;color=#E682E6&gt;Extra Multiplier x2&lt;/color&gt;.</t>
  </si>
  <si>
    <t>山の残り牌が36枚未満になるとゲームオーバー。&lt;color=#E682E6&gt;追加倍率x2&lt;/color&gt;。</t>
  </si>
  <si>
    <t>方塊下落時每2秒會隨機往左或右移動1~2格，&lt;color=#E682E6&gt;額外倍率x4&lt;/color&gt;</t>
  </si>
  <si>
    <t>Falling blocks shift 1-2 cells left/right every 2s. &lt;color=#E682E6&gt;Extra Multiplier x4&lt;/color&gt;.</t>
  </si>
  <si>
    <t>落下中のブロックが2秒毎に左右へ1～2マス移動する。&lt;color=#E682E6&gt;追加倍率x4&lt;/color&gt;。</t>
  </si>
  <si>
    <t>方塊中的麻將牌面會隨機旋轉方向，&lt;color=#E682E6&gt;額外倍率x2&lt;/color&gt;</t>
  </si>
  <si>
    <t>Mahjong patterns in blocks rotate randomly. &lt;color=#E682E6&gt;Extra Multiplier x2&lt;/color&gt;.</t>
  </si>
  <si>
    <t>ブロック内の麻雀牌の向きがランダムに回転する。&lt;color=#E682E6&gt;追加倍率x2&lt;/color&gt;。</t>
  </si>
  <si>
    <t>胡牌時不再獎勵遊戲時間，目標金幣獎勵x2</t>
  </si>
  <si>
    <t>No Time Reward upon winning. Target Gold Reward x2.</t>
  </si>
  <si>
    <t>和了時の時間報酬なし。目標ゴールド報酬2倍。</t>
  </si>
  <si>
    <t>移除所有數字1和9的牌，&lt;color=#FF595E&gt;方塊倍率-14&lt;/color&gt;（最低為1）</t>
  </si>
  <si>
    <t>Remove all 1 and 9 tiles. &lt;color=#FF595E&gt;Block Multiplier -14&lt;/color&gt; (min 1).</t>
  </si>
  <si>
    <t>1と9の牌を全て削除。&lt;color=#FF595E&gt;ブロック倍率-14&lt;/color&gt;（最低1）。</t>
  </si>
  <si>
    <t>隨機移除一種花色所有的牌，&lt;color=#FF595E&gt;方塊倍率-24&lt;/color&gt;（最低為1）</t>
  </si>
  <si>
    <t>Randomly remove all tiles of one suit. &lt;color=#FF595E&gt;Block Multiplier -24&lt;/color&gt; (min 1).</t>
  </si>
  <si>
    <t>ランダムな1種類の数牌を全て削除。&lt;color=#FF595E&gt;ブロック倍率-24&lt;/color&gt;（最低1）。</t>
  </si>
  <si>
    <t>每組槓牌提供的番數+1，&lt;color=#FF595E&gt;方塊倍率-16&lt;/color&gt;（最低為1）</t>
  </si>
  <si>
    <t>+1 Fan for each Kong. &lt;color=#FF595E&gt;Block Multiplier -16&lt;/color&gt; (min 1).</t>
  </si>
  <si>
    <t>槓子（カンツ）1組につき1翻プラス。&lt;color=#FF595E&gt;ブロック倍率-16&lt;/color&gt;（最低1）。</t>
  </si>
  <si>
    <t>下一個方塊預覽會被迷霧遮擋，&lt;color=#E682E6&gt;額外倍率x3&lt;/color&gt;</t>
  </si>
  <si>
    <t>Next block preview is hidden by fog. &lt;color=#E682E6&gt;Extra Multiplier x3&lt;/color&gt;.</t>
  </si>
  <si>
    <t>次のブロックの予告が霧で隠れる。&lt;color=#E682E6&gt;追加倍率x3&lt;/color&gt;。</t>
  </si>
  <si>
    <t>當牌庫中的麻將即將耗盡時胡牌，&lt;color=#E682E6&gt;額外倍率x8&lt;/color&gt;</t>
  </si>
  <si>
    <t>Win when the deck is nearly empty. &lt;color=#E682E6&gt;Extra Multiplier x8&lt;/color&gt;.</t>
  </si>
  <si>
    <t>山の牌が尽きる直前に和了すると、&lt;color=#E682E6&gt;追加倍率x8&lt;/color&gt;。</t>
  </si>
  <si>
    <t>胡牌時如牌型僅2種花面，視為“清一色”牌型，&lt;color=#FF595E&gt;方塊倍率-20&lt;/color&gt;（最低為1）</t>
  </si>
  <si>
    <t>Winning with only 2 suits counts as "Full Flush". &lt;color=#FF595E&gt;Block Multiplier -20&lt;/color&gt; (min 1).</t>
  </si>
  <si>
    <t>2種類の数牌のみで和了した場合、「清一色」とみなす。&lt;color=#FF595E&gt;ブロック倍率-20&lt;/color&gt;（最低1）。</t>
  </si>
  <si>
    <t>胡牌時所有牌型都視為平胡，消行分數調整為：基礎分x2的“連續消行數量”次方</t>
  </si>
  <si>
    <t>全ての和了を「平和」とみなす。ライン消去スコアを「基礎点×2の(連続消去数)乗」に変更。</t>
  </si>
  <si>
    <t>胡牌時如果是平胡，&lt;color=#E682E6&gt;額外倍率x0&lt;/color&gt;，且無獎勵，其他牌型計算番數倍率時底數從2變為3</t>
  </si>
  <si>
    <t>If Pinfu: &lt;color=#E682E6&gt;Extra Multiplier x0&lt;/color&gt; &amp; No Reward. Other hands calculate Fan with base 3.</t>
  </si>
  <si>
    <t>平和の和了は&lt;color=#E682E6&gt;追加倍率x0&lt;/color&gt;で報酬なし。他は翻数計算の底を2から3に変更。</t>
  </si>
  <si>
    <t>每次將“刻子”牌加入胡牌區時，&lt;color=#3296DC&gt;基礎分+3&lt;/color&gt;，整局有效</t>
  </si>
  <si>
    <t>「刻子」を和了エリアに加えるたび、&lt;color=#3296DC&gt;基礎点+3&lt;/color&gt;（ゲーム終了まで有効）。</t>
  </si>
  <si>
    <t>每輪遊戲開始時，&lt;color=#3296DC&gt;基礎分-12&lt;/color&gt;（最低為1），每當一次性消除3行及以上時基礎分+8，僅本局有效</t>
  </si>
  <si>
    <t>各局開始時、&lt;color=#3296DC&gt;基礎点-12&lt;/color&gt;（最低1）。3ライン以上同時消去で基礎点+8（今局のみ有効）。</t>
  </si>
  <si>
    <t>每輪遊戲開始時，剩餘&lt;color=#36BA98&gt;遊戲時間&lt;/color&gt;變為95秒</t>
  </si>
  <si>
    <t>各局開始時、残り&lt;color=#36BA98&gt;時間&lt;/color&gt;が95秒になる。</t>
  </si>
  <si>
    <t>當場上堆疊的方塊高度超過8時，&lt;color=#36BA98&gt;方塊速度&lt;/color&gt;變為5，遊戲時間流逝速度減慢至20%</t>
  </si>
  <si>
    <t>積み上げ高さが8を超えると、&lt;color=#36BA98&gt;落下速度&lt;/color&gt;が5になり、時間の流れが20%になる。</t>
  </si>
  <si>
    <t>每經過6秒，&lt;color=#3296DC&gt;基礎分&lt;/color&gt;增加或減少1~36（最低為1）</t>
  </si>
  <si>
    <t>6秒ごとに、&lt;color=#3296DC&gt;基礎点&lt;/color&gt;が1～36増減する（最低1）。</t>
  </si>
  <si>
    <t>每當向胡牌區添加一張”一條“，&lt;color=#3296DC&gt;基礎分+12&lt;/color&gt;，僅本局有效</t>
  </si>
  <si>
    <t>和了エリアに「一索」を加えるたび、&lt;color=#3296DC&gt;基礎点+12&lt;/color&gt;（今局のみ有効）。</t>
  </si>
  <si>
    <t>鍵盤上下、左右按鍵功能調換，&lt;color=#E682E6&gt;額外倍率x3&lt;/color&gt;</t>
  </si>
  <si>
    <t>Arrow keys (Up/Down, Left/Right) are swapped. &lt;color=#E682E6&gt;Extra Multiplier x3&lt;/color&gt;.</t>
  </si>
  <si>
    <t>十字キーの上下と左右の操作が入れ替わる。&lt;color=#E682E6&gt;追加倍率x3&lt;/color&gt;。</t>
  </si>
  <si>
    <t>每輪遊戲開始時，第1個方塊固定是“巨人方塊”，&lt;color=#FF595E&gt;方塊倍率+36&lt;/color&gt;</t>
  </si>
  <si>
    <t>各局の最初のブロックが必ず「巨人ブロック」になる。&lt;color=#FF595E&gt;ブロック倍率+36&lt;/color&gt;。</t>
  </si>
  <si>
    <t>临期食品</t>
    <phoneticPr fontId="5" type="noConversion"/>
  </si>
  <si>
    <t>新能源</t>
    <phoneticPr fontId="5" type="noConversion"/>
  </si>
  <si>
    <t>便宜仓库</t>
    <phoneticPr fontId="5" type="noConversion"/>
  </si>
  <si>
    <t>杠上开花</t>
    <phoneticPr fontId="5" type="noConversion"/>
  </si>
  <si>
    <t>迷雾</t>
    <phoneticPr fontId="5" type="noConversion"/>
  </si>
  <si>
    <t>海底捞月</t>
    <phoneticPr fontId="5" type="noConversion"/>
  </si>
  <si>
    <t>麻将博士</t>
    <phoneticPr fontId="5" type="noConversion"/>
  </si>
  <si>
    <t>延迟满足</t>
    <phoneticPr fontId="5" type="noConversion"/>
  </si>
  <si>
    <t>朝九晚五</t>
    <phoneticPr fontId="5" type="noConversion"/>
  </si>
  <si>
    <t>子弹时间</t>
    <phoneticPr fontId="5" type="noConversion"/>
  </si>
  <si>
    <t>不稳定电流</t>
    <phoneticPr fontId="5" type="noConversion"/>
  </si>
  <si>
    <t>自然保护区</t>
    <phoneticPr fontId="5" type="noConversion"/>
  </si>
  <si>
    <t>攻击的巨人</t>
    <phoneticPr fontId="5" type="noConversion"/>
  </si>
  <si>
    <t>人人平等</t>
    <phoneticPr fontId="5" type="noConversion"/>
  </si>
  <si>
    <t>绝杀</t>
    <phoneticPr fontId="5" type="noConversion"/>
  </si>
  <si>
    <t>沼泽地</t>
    <phoneticPr fontId="5" type="noConversion"/>
  </si>
  <si>
    <t>独木桥</t>
    <phoneticPr fontId="5" type="noConversion"/>
  </si>
  <si>
    <t>空手道大师</t>
    <phoneticPr fontId="5" type="noConversion"/>
  </si>
  <si>
    <t>背水一战</t>
    <phoneticPr fontId="5" type="noConversion"/>
  </si>
  <si>
    <t>强者世界</t>
    <phoneticPr fontId="5" type="noConversion"/>
  </si>
  <si>
    <t>大革命</t>
    <phoneticPr fontId="5" type="noConversion"/>
  </si>
  <si>
    <t>千里走单骑</t>
    <phoneticPr fontId="5" type="noConversion"/>
  </si>
  <si>
    <t>亚空间</t>
    <phoneticPr fontId="5" type="noConversion"/>
  </si>
  <si>
    <t>合纵连横</t>
    <phoneticPr fontId="5" type="noConversion"/>
  </si>
  <si>
    <t>超超超贵宾</t>
    <phoneticPr fontId="5" type="noConversion"/>
  </si>
  <si>
    <t>&lt;color=#36BA98&gt;方块速度+12&lt;/color&gt;，&lt;color=#E682E6&gt;额外倍率x2&lt;/color&gt;</t>
    <phoneticPr fontId="5" type="noConversion"/>
  </si>
  <si>
    <t>每轮游戏开始时，&lt;color=#3296DC&gt;基础分+60&lt;/color&gt;，之后每秒-1（最低为1），下轮开始重置</t>
    <phoneticPr fontId="5" type="noConversion"/>
  </si>
  <si>
    <t>每次胡牌时&lt;color=#36BA98&gt;游戏时间&lt;/color&gt;奖励+20秒</t>
    <phoneticPr fontId="5" type="noConversion"/>
  </si>
  <si>
    <t>当有5格方块时生效，5格方块出现的概率提高200%，&lt;color=#E682E6&gt;额外倍率x3&lt;/color&gt;</t>
    <phoneticPr fontId="5" type="noConversion"/>
  </si>
  <si>
    <t>当牌库中剩余的牌少于36张时游戏失败，&lt;color=#E682E6&gt;额外倍率x2&lt;/color&gt;</t>
    <phoneticPr fontId="5" type="noConversion"/>
  </si>
  <si>
    <t>方块下落时每2秒会随机往左或右移动1~2格，&lt;color=#E682E6&gt;额外倍率x4&lt;/color&gt;</t>
    <phoneticPr fontId="5" type="noConversion"/>
  </si>
  <si>
    <t>方块中的麻将牌面会随机旋转方向，&lt;color=#E682E6&gt;额外倍率x2&lt;/color&gt;</t>
    <phoneticPr fontId="5" type="noConversion"/>
  </si>
  <si>
    <t>胡牌时不再奖励游戏时间，目标金币奖励x2</t>
    <phoneticPr fontId="5" type="noConversion"/>
  </si>
  <si>
    <t>移除所有数字1和9的牌，&lt;color=#FF595E&gt;方块倍率-14&lt;/color&gt;（最低为1）</t>
    <phoneticPr fontId="5" type="noConversion"/>
  </si>
  <si>
    <t>随机移除一种花色所有的牌，&lt;color=#FF595E&gt;方块倍率-24&lt;/color&gt;（最低为1）</t>
    <phoneticPr fontId="5" type="noConversion"/>
  </si>
  <si>
    <t>每组杠牌提供的番数+1，&lt;color=#FF595E&gt;方块倍率-16&lt;/color&gt;（最低为1）</t>
    <phoneticPr fontId="5" type="noConversion"/>
  </si>
  <si>
    <t>下一个方块预览会被迷雾遮挡，&lt;color=#E682E6&gt;额外倍率x3&lt;/color&gt;</t>
    <phoneticPr fontId="5" type="noConversion"/>
  </si>
  <si>
    <t>当牌库中的麻将即将耗尽时胡牌，&lt;color=#E682E6&gt;额外倍率x8&lt;/color&gt;</t>
    <phoneticPr fontId="5" type="noConversion"/>
  </si>
  <si>
    <t>胡牌时如牌型仅2种花面，视为“清一色”牌型，&lt;color=#FF595E&gt;方块倍率-20&lt;/color&gt;（最低为1）</t>
    <phoneticPr fontId="5" type="noConversion"/>
  </si>
  <si>
    <t>胡牌时所有牌型都视为平胡，消行分数调整为：基础分x2的“连续消行数量”次方</t>
    <phoneticPr fontId="5" type="noConversion"/>
  </si>
  <si>
    <t>胡牌时如果是平胡，&lt;color=#E682E6&gt;额外倍率x0&lt;/color&gt;，且无奖励，其他牌型计算番数倍率时底数从2变为3</t>
    <phoneticPr fontId="5" type="noConversion"/>
  </si>
  <si>
    <t>每次将“刻子”牌加入胡牌区时，&lt;color=#3296DC&gt;基础分+3&lt;/color&gt;，整局有效</t>
    <phoneticPr fontId="5" type="noConversion"/>
  </si>
  <si>
    <t>每轮游戏开始时，&lt;color=#3296DC&gt;基础分-12&lt;/color&gt;（最低为1），每当一次性消除3行及以上时基础分+8，仅本轮有效</t>
    <phoneticPr fontId="5" type="noConversion"/>
  </si>
  <si>
    <t>每轮游戏开始时，剩余&lt;color=#36BA98&gt;游戏时间&lt;/color&gt;变为95秒</t>
    <phoneticPr fontId="5" type="noConversion"/>
  </si>
  <si>
    <t>当场上堆叠的方块高度超过8时，&lt;color=#36BA98&gt;方块速度&lt;/color&gt;变为5，游戏时间流逝速度减慢至20%</t>
    <phoneticPr fontId="5" type="noConversion"/>
  </si>
  <si>
    <t>每经过6秒，&lt;color=#3296DC&gt;基础分&lt;/color&gt;增加或减少1~36（最低为1）</t>
    <phoneticPr fontId="5" type="noConversion"/>
  </si>
  <si>
    <t>每当向胡牌区添加一张”一条“，&lt;color=#3296DC&gt;基础分+12&lt;/color&gt;，仅本轮有效</t>
    <phoneticPr fontId="5" type="noConversion"/>
  </si>
  <si>
    <t>键盘上下、左右按键功能调换，&lt;color=#E682E6&gt;额外倍率x3&lt;/color&gt;</t>
    <phoneticPr fontId="5" type="noConversion"/>
  </si>
  <si>
    <t>每轮游戏开始时，第1个方块固定是“巨人方块”，&lt;color=#FF595E&gt;方块倍率+36&lt;/color&gt;</t>
    <phoneticPr fontId="5" type="noConversion"/>
  </si>
  <si>
    <t>所有形状的方块所提供的&lt;color=#FF595E&gt;方块倍率&lt;/color&gt;变为3</t>
    <phoneticPr fontId="5" type="noConversion"/>
  </si>
  <si>
    <t>剩余时间小于3秒时，&lt;color=#3296DC&gt;基础分+60&lt;/color&gt;，仅本轮有效</t>
    <phoneticPr fontId="5" type="noConversion"/>
  </si>
  <si>
    <t>每经过10秒即会强行消除最底下一行方块，&lt;color=#E682E6&gt;额外倍率x2&lt;/color&gt;</t>
    <phoneticPr fontId="5" type="noConversion"/>
  </si>
  <si>
    <t>方块有10%的概率以极快的速度下落，&lt;color=#E682E6&gt;额外倍率x3&lt;/color&gt;</t>
    <phoneticPr fontId="5" type="noConversion"/>
  </si>
  <si>
    <t>胡牌时每种奖励的数量减为1个，&lt;color=#E682E6&gt;额外倍率x3&lt;/color&gt;</t>
    <phoneticPr fontId="5" type="noConversion"/>
  </si>
  <si>
    <t>胡牌时会自动随机选择奖励，并在游戏开始时强行使用所有可用道具，&lt;color=#E682E6&gt;额外倍率x4&lt;/color&gt;</t>
    <phoneticPr fontId="5" type="noConversion"/>
  </si>
  <si>
    <t>方块落地后牌面会在15秒内逐渐变为黑色，&lt;color=#E682E6&gt;额外倍率x3&lt;/color&gt;</t>
    <phoneticPr fontId="5" type="noConversion"/>
  </si>
  <si>
    <t>不可使用道具，&lt;color=#E682E6&gt;额外倍率x3&lt;/color&gt;</t>
    <phoneticPr fontId="5" type="noConversion"/>
  </si>
  <si>
    <t>消除行时麻将不会返回牌库，&lt;color=#E682E6&gt;额外倍率x16&lt;/color&gt;</t>
    <phoneticPr fontId="5" type="noConversion"/>
  </si>
  <si>
    <t>每轮游戏开始时，强行加入随机一个5格方块，&lt;color=#E682E6&gt;额外倍率x5&lt;/color&gt;</t>
    <phoneticPr fontId="5" type="noConversion"/>
  </si>
  <si>
    <t>每轮游戏开始时，会将方块列表中所有方块随机变为其他方块，&lt;color=#E682E6&gt;额外倍率x5&lt;/color&gt;</t>
    <phoneticPr fontId="5" type="noConversion"/>
  </si>
  <si>
    <t>如果没有其他条约，每完成一圈胡牌，&lt;color=#E682E6&gt;额外倍率x2&lt;/color&gt;，期间加入条约则失效</t>
    <phoneticPr fontId="5" type="noConversion"/>
  </si>
  <si>
    <t>完成一圈所需要的轮数-1，每次胡牌&lt;color=#36BA98&gt;方块速度&lt;/color&gt;额外+2</t>
    <phoneticPr fontId="5" type="noConversion"/>
  </si>
  <si>
    <t>每次消除多行时会视为一行来进行麻将判定</t>
    <phoneticPr fontId="5" type="noConversion"/>
  </si>
  <si>
    <t>胡牌时每种奖励可以选择2个</t>
    <phoneticPr fontId="5" type="noConversion"/>
  </si>
  <si>
    <t>&lt;color=#E682E6&gt;额外倍率x36&lt;/color&gt;，3轮游戏之后自动销毁</t>
    <phoneticPr fontId="5" type="noConversion"/>
  </si>
  <si>
    <t>所有形狀的方塊所提供的&lt;color=#FF595E&gt;方塊倍率&lt;/color&gt;變為3</t>
  </si>
  <si>
    <t>&lt;color=#FF595E&gt;Block Multiplier&lt;/color&gt; from all block shapes becomes 3.</t>
  </si>
  <si>
    <t>全ての形状のブロックが提供する&lt;color=#FF595E&gt;ブロック倍率&lt;/color&gt;が3になる。</t>
  </si>
  <si>
    <t>剩餘時間小於3秒時，&lt;color=#3296DC&gt;基礎分+60&lt;/color&gt;，僅本局有效</t>
  </si>
  <si>
    <t>残り時間3秒未満の時、&lt;color=#3296DC&gt;基礎点+60&lt;/color&gt;（今局のみ有効）。</t>
  </si>
  <si>
    <t>每經過10秒即會強制消除最底下一行方塊，&lt;color=#E682E6&gt;額外倍率x2&lt;/color&gt;</t>
  </si>
  <si>
    <t>Every 10s, forcibly clear the bottom line. &lt;color=#E682E6&gt;Extra Multiplier x2&lt;/color&gt;.</t>
  </si>
  <si>
    <t>10秒ごとに最下段のラインを強制消去。&lt;color=#E682E6&gt;追加倍率x2&lt;/color&gt;。</t>
  </si>
  <si>
    <t>方塊有10%的概率以極快的速度下落，&lt;color=#E682E6&gt;額外倍率x3&lt;/color&gt;</t>
  </si>
  <si>
    <t>10% chance for blocks to drop at very high speed. &lt;color=#E682E6&gt;Extra Multiplier x3&lt;/color&gt;.</t>
  </si>
  <si>
    <t>ブロックが10%の確率で高速落下する。&lt;color=#E682E6&gt;追加倍率x3&lt;/color&gt;。</t>
  </si>
  <si>
    <t>胡牌時每種獎勵的數量減為1個，&lt;color=#E682E6&gt;額外倍率x3&lt;/color&gt;</t>
  </si>
  <si>
    <t>Winning rewards reduced to 1 of each type. &lt;color=#E682E6&gt;Extra Multiplier x3&lt;/color&gt;.</t>
  </si>
  <si>
    <t>和了時の各報酬が1個に減少。&lt;color=#E682E6&gt;追加倍率x3&lt;/color&gt;。</t>
  </si>
  <si>
    <t>胡牌時會自動隨機選擇獎勵，並在遊戲開始時強制使用所有可用道具，&lt;color=#E682E6&gt;額外倍率x4&lt;/color&gt;</t>
  </si>
  <si>
    <t>Auto-select random reward on win. Force use all items at start. &lt;color=#E682E6&gt;Extra Multiplier x4&lt;/color&gt;.</t>
  </si>
  <si>
    <t>和了報酬を自動選択。開始時に全アイテムを強制使用。&lt;color=#E682E6&gt;追加倍率x4&lt;/color&gt;。</t>
  </si>
  <si>
    <t>方塊落地後牌面會在15秒內逐漸變為黑色，&lt;color=#E682E6&gt;額外倍率x3&lt;/color&gt;</t>
  </si>
  <si>
    <t>Tile patterns fade to black over 15s after landing. &lt;color=#E682E6&gt;Extra Multiplier x3&lt;/color&gt;.</t>
  </si>
  <si>
    <t>着地後15秒かけて牌の模様が黒くなる。&lt;color=#E682E6&gt;追加倍率x3&lt;/color&gt;。</t>
  </si>
  <si>
    <t>不可使用道具，&lt;color=#E682E6&gt;額外倍率x3&lt;/color&gt;</t>
  </si>
  <si>
    <t>Items cannot be used. &lt;color=#E682E6&gt;Extra Multiplier x3&lt;/color&gt;.</t>
  </si>
  <si>
    <t>アイテム使用不可。&lt;color=#E682E6&gt;追加倍率x3&lt;/color&gt;。</t>
  </si>
  <si>
    <t>消除行時麻將不會返回牌庫，&lt;color=#E682E6&gt;額外倍率x16&lt;/color&gt;</t>
  </si>
  <si>
    <t>Cleared tiles do not return to deck. &lt;color=#E682E6&gt;Extra Multiplier x16&lt;/color&gt;.</t>
  </si>
  <si>
    <t>消去した牌が山に戻らなくなる。&lt;color=#E682E6&gt;追加倍率x16&lt;/color&gt;。</t>
  </si>
  <si>
    <t>每輪遊戲開始時，強制加入隨機一個5格方塊，&lt;color=#E682E6&gt;額外倍率x5&lt;/color&gt;</t>
  </si>
  <si>
    <t>各局開始時、ランダムな5マスブロックを強制追加。&lt;color=#E682E6&gt;追加倍率x5&lt;/color&gt;。</t>
  </si>
  <si>
    <t>每輪遊戲開始時，會將方塊列表中所有方塊隨機變為其他方塊，&lt;color=#E682E6&gt;額外倍率x5&lt;/color&gt;</t>
  </si>
  <si>
    <t>各局開始時、所持ブロックを全てランダムに変化させる。&lt;color=#E682E6&gt;追加倍率x5&lt;/color&gt;。</t>
  </si>
  <si>
    <t>如果沒有其他條約，每完成一圈胡牌，&lt;color=#E682E6&gt;額外倍率x2&lt;/color&gt;，期間加入條約則失效</t>
  </si>
  <si>
    <t>If no other Treaties: &lt;color=#E682E6&gt;Extra Multiplier x2&lt;/color&gt; per Round cleared. Voids if new Treaty added.</t>
  </si>
  <si>
    <t>他に条約がない場合、1周ごとに&lt;color=#E682E6&gt;追加倍率x2&lt;/color&gt;。条約追加で無効化。</t>
  </si>
  <si>
    <t>完成一圈所需要的輪數-1，每次胡牌&lt;color=#36BA98&gt;方塊速度&lt;/color&gt;額外+2</t>
  </si>
  <si>
    <t>1周に必要な局数-1。和了時&lt;color=#36BA98&gt;落下速度&lt;/color&gt;が更に追加で+2。</t>
  </si>
  <si>
    <t>每次消除多行時會視為一行來進行麻將判定</t>
  </si>
  <si>
    <t>Multi-line clears are treated as a single line for Mahjong checks.</t>
  </si>
  <si>
    <t>複数行の同時消去を1行として麻雀判定を行う。</t>
  </si>
  <si>
    <t>胡牌時每種獎勵可以選擇2個</t>
  </si>
  <si>
    <t>Select 2 of each reward type upon winning.</t>
  </si>
  <si>
    <t>和了時に各報酬を2個選択できる。</t>
  </si>
  <si>
    <t>&lt;color=#E682E6&gt;額外倍率x36&lt;/color&gt;，3輪遊戲之後自動銷毀</t>
  </si>
  <si>
    <t>&lt;color=#E682E6&gt;追加倍率x36&lt;/color&gt;。3局後に自動消滅。</t>
  </si>
  <si>
    <t>&lt;color=#36BA98&gt;Block Speed +12&lt;/color&gt;, &lt;color=#E682E6&gt;Extra Multiplier x2&lt;/color&gt;</t>
    <phoneticPr fontId="5" type="noConversion"/>
  </si>
  <si>
    <t>When stack height &gt; 8: &lt;color=#36BA98&gt;Block Speed&lt;/color&gt; becomes 5, Game Time slows to 20%.</t>
    <phoneticPr fontId="5" type="noConversion"/>
  </si>
  <si>
    <t>All wins count as "Pinfu". Line clear score: Base Point x 2^(consecutive lines).</t>
    <phoneticPr fontId="5" type="noConversion"/>
  </si>
  <si>
    <t>Adding a "Triplet" to Winning Area gives &lt;color=#3296DC&gt;Base Point +3&lt;/color&gt; (entire game).</t>
    <phoneticPr fontId="5" type="noConversion"/>
  </si>
  <si>
    <t>Every 6s, &lt;color=#3296DC&gt;Base Point&lt;/color&gt; increases or decreases by 1-36 (min 1).</t>
    <phoneticPr fontId="5" type="noConversion"/>
  </si>
  <si>
    <t>&lt;color=#3296DC&gt;Base Point +24&lt;/color&gt;. Next round &lt;color=#3296DC&gt;Base Point -48&lt;/color&gt; (min 1), restores the round after</t>
    <phoneticPr fontId="5" type="noConversion"/>
  </si>
  <si>
    <t>Winning this round completes the current streak. &lt;color=#36BA98&gt;Block Speed +4&lt;/color&gt;</t>
    <phoneticPr fontId="5" type="noConversion"/>
  </si>
  <si>
    <t>At start of round &lt;color=#3296DC&gt;Base Point +60&lt;/color&gt;. Decays by 1/s (min 1). Resets next round.</t>
    <phoneticPr fontId="5" type="noConversion"/>
  </si>
  <si>
    <t>&lt;color=#36BA98&gt;Time&lt;/color&gt; Reward +20s upon winning a round</t>
    <phoneticPr fontId="5" type="noConversion"/>
  </si>
  <si>
    <t>Start of round: &lt;color=#3296DC&gt;Base Point -12&lt;/color&gt; (min 1). Clearing 3+ lines at once gives Base Point +8 (this round only).</t>
    <phoneticPr fontId="5" type="noConversion"/>
  </si>
  <si>
    <t>Start of round: Remaining &lt;color=#36BA98&gt;Time&lt;/color&gt; becomes 95s.</t>
    <phoneticPr fontId="5" type="noConversion"/>
  </si>
  <si>
    <t>Adding a "1 Bamboo" tile to Winning Area gives &lt;color=#3296DC&gt;Base Point +12&lt;/color&gt; (this round only).</t>
    <phoneticPr fontId="5" type="noConversion"/>
  </si>
  <si>
    <t>The 1st block of each round is always a "Titan Block". &lt;color=#FF595E&gt;Block Multiplier +36&lt;/color&gt;.</t>
    <phoneticPr fontId="5" type="noConversion"/>
  </si>
  <si>
    <t>When Time &lt; 3s: &lt;color=#3296DC&gt;Base Point +60&lt;/color&gt; (this round only).</t>
    <phoneticPr fontId="5" type="noConversion"/>
  </si>
  <si>
    <t>Start of round: Randomly transform all inventory blocks. &lt;color=#E682E6&gt;Extra Multiplier x5&lt;/color&gt;.</t>
    <phoneticPr fontId="5" type="noConversion"/>
  </si>
  <si>
    <t>&lt;color=#E682E6&gt;Extra Multiplier x36&lt;/color&gt;. Self-destructs after 3 rounds.</t>
    <phoneticPr fontId="5" type="noConversion"/>
  </si>
  <si>
    <t>Rounds needed per Round -1. Win: &lt;color=#36BA98&gt;Block Speed&lt;/color&gt; +2 extra.</t>
    <phoneticPr fontId="5" type="noConversion"/>
  </si>
  <si>
    <t>Start of round: Force add a random 5-cell block. &lt;color=#E682E6&gt;Extra Multiplier x5&lt;/color&gt;.</t>
    <phoneticPr fontId="5" type="noConversion"/>
  </si>
  <si>
    <t>每经过3秒基础分增加或减少1~36（最低为1）</t>
    <phoneticPr fontId="6" type="noConversion"/>
  </si>
  <si>
    <t>荣誉勋章</t>
    <phoneticPr fontId="5" type="noConversion"/>
  </si>
  <si>
    <t>工匠</t>
    <phoneticPr fontId="6" type="noConversion"/>
  </si>
  <si>
    <t>Craftsman</t>
    <phoneticPr fontId="6" type="noConversion"/>
  </si>
  <si>
    <t>每轮游戏开始后每经过80秒即会随机添加一个普通道具</t>
    <phoneticPr fontId="6" type="noConversion"/>
  </si>
  <si>
    <t>Badge of Honor</t>
    <phoneticPr fontId="5" type="noConversion"/>
  </si>
  <si>
    <t>方块列表中随机2种方块，整局游戏这两种方块的方块倍率+5</t>
    <phoneticPr fontId="5" type="noConversion"/>
  </si>
  <si>
    <t>完成一局大师难度的游戏</t>
    <phoneticPr fontId="6" type="noConversion"/>
  </si>
  <si>
    <t>完成一局新手难度的游戏</t>
    <phoneticPr fontId="6" type="noConversion"/>
  </si>
  <si>
    <t>完成一局专家难度的游戏</t>
    <phoneticPr fontId="6" type="noConversion"/>
  </si>
  <si>
    <t>一次胡牌获得100000分</t>
    <phoneticPr fontId="6" type="noConversion"/>
  </si>
  <si>
    <t>一次胡牌获得100000000分</t>
    <phoneticPr fontId="6" type="noConversion"/>
  </si>
  <si>
    <t>一次胡牌获得1000分</t>
    <phoneticPr fontId="6" type="noConversion"/>
  </si>
  <si>
    <t>一次胡牌获得5000000分</t>
    <phoneticPr fontId="6" type="noConversion"/>
  </si>
  <si>
    <t>目标</t>
    <phoneticPr fontId="6" type="noConversion"/>
  </si>
  <si>
    <t>奖励</t>
    <phoneticPr fontId="6" type="noConversion"/>
  </si>
  <si>
    <t>完成一次番数≥3的胡牌牌型</t>
    <phoneticPr fontId="6" type="noConversion"/>
  </si>
  <si>
    <t>完成一次番数≥9的胡牌牌型</t>
    <phoneticPr fontId="6" type="noConversion"/>
  </si>
  <si>
    <t>完成一局天下无双难度的游戏</t>
    <phoneticPr fontId="6" type="noConversion"/>
  </si>
  <si>
    <t>在方块下落速度≥24时完成一局游戏</t>
    <phoneticPr fontId="6" type="noConversion"/>
  </si>
  <si>
    <t>在方块下落速度≥32时完成一局游戏</t>
    <phoneticPr fontId="6" type="noConversion"/>
  </si>
  <si>
    <t>在方块下落速度≥16时完成一局游戏</t>
    <phoneticPr fontId="6" type="noConversion"/>
  </si>
  <si>
    <t>入门</t>
    <phoneticPr fontId="6" type="noConversion"/>
  </si>
  <si>
    <t>攀登高峰1</t>
    <phoneticPr fontId="6" type="noConversion"/>
  </si>
  <si>
    <t>攀登高峰2</t>
  </si>
  <si>
    <t>攀登高峰3</t>
  </si>
  <si>
    <t>攀登高峰4</t>
  </si>
  <si>
    <t>麻将魂1</t>
    <phoneticPr fontId="6" type="noConversion"/>
  </si>
  <si>
    <t>麻将魂2</t>
  </si>
  <si>
    <t>麻将魂3</t>
  </si>
  <si>
    <t>麻将魂4</t>
  </si>
  <si>
    <t>时间管理大师1</t>
    <phoneticPr fontId="6" type="noConversion"/>
  </si>
  <si>
    <t>时间管理大师2</t>
  </si>
  <si>
    <t>时间管理大师3</t>
  </si>
  <si>
    <t>时间管理大师4</t>
  </si>
  <si>
    <t>最速传说1</t>
    <phoneticPr fontId="6" type="noConversion"/>
  </si>
  <si>
    <t>最速传说2</t>
  </si>
  <si>
    <t>最速传说3</t>
  </si>
  <si>
    <t>最速传说4</t>
  </si>
  <si>
    <t>完全体</t>
    <phoneticPr fontId="6" type="noConversion"/>
  </si>
  <si>
    <t>完成一局游戏且期间未使用任何道具</t>
    <phoneticPr fontId="6" type="noConversion"/>
  </si>
  <si>
    <t>多多益善</t>
    <phoneticPr fontId="6" type="noConversion"/>
  </si>
  <si>
    <t>精益求精</t>
    <phoneticPr fontId="6" type="noConversion"/>
  </si>
  <si>
    <t>收藏家1</t>
    <phoneticPr fontId="6" type="noConversion"/>
  </si>
  <si>
    <t>收藏家2</t>
  </si>
  <si>
    <t>收藏家3</t>
  </si>
  <si>
    <t>纵横家1</t>
    <phoneticPr fontId="6" type="noConversion"/>
  </si>
  <si>
    <t>纵横家2</t>
  </si>
  <si>
    <t>纵横家3</t>
  </si>
  <si>
    <t>极限冲击1</t>
    <phoneticPr fontId="6" type="noConversion"/>
  </si>
  <si>
    <t>极限冲击2</t>
  </si>
  <si>
    <t>极限冲击3</t>
  </si>
  <si>
    <t>极限冲击4</t>
  </si>
  <si>
    <t>历战王者1</t>
    <phoneticPr fontId="6" type="noConversion"/>
  </si>
  <si>
    <t>历战王者2</t>
  </si>
  <si>
    <t>历战王者3</t>
  </si>
  <si>
    <t>营养师1</t>
    <phoneticPr fontId="6" type="noConversion"/>
  </si>
  <si>
    <t>营养师2</t>
  </si>
  <si>
    <t>战术大师1</t>
    <phoneticPr fontId="6" type="noConversion"/>
  </si>
  <si>
    <t>战术大师2</t>
    <phoneticPr fontId="6" type="noConversion"/>
  </si>
  <si>
    <t>建筑师1</t>
    <phoneticPr fontId="6" type="noConversion"/>
  </si>
  <si>
    <t>建筑师2</t>
  </si>
  <si>
    <t>军神</t>
    <phoneticPr fontId="6" type="noConversion"/>
  </si>
  <si>
    <t>限行路段1</t>
    <phoneticPr fontId="6" type="noConversion"/>
  </si>
  <si>
    <t>限行路段2</t>
  </si>
  <si>
    <t>在方块下落速度≥56时完成一局游戏</t>
    <phoneticPr fontId="6" type="noConversion"/>
  </si>
  <si>
    <t>在一局游戏中基础分达到60</t>
    <phoneticPr fontId="6" type="noConversion"/>
  </si>
  <si>
    <t>在一局游戏中基础分达到120</t>
    <phoneticPr fontId="6" type="noConversion"/>
  </si>
  <si>
    <t>在一局游戏中方块倍率达到60</t>
    <phoneticPr fontId="6" type="noConversion"/>
  </si>
  <si>
    <t>在一局游戏中方块倍率达到120</t>
    <phoneticPr fontId="6" type="noConversion"/>
  </si>
  <si>
    <t>在一局游戏中额外倍率达到40</t>
    <phoneticPr fontId="6" type="noConversion"/>
  </si>
  <si>
    <t>在一局游戏中额外倍率达到80</t>
    <phoneticPr fontId="6" type="noConversion"/>
  </si>
  <si>
    <t>在剩余时间≥240秒时完成一局游戏</t>
    <phoneticPr fontId="6" type="noConversion"/>
  </si>
  <si>
    <t>在剩余时间≥360秒时完成一局游戏</t>
    <phoneticPr fontId="6" type="noConversion"/>
  </si>
  <si>
    <t>在剩余时间≥600秒时完成一局游戏</t>
    <phoneticPr fontId="6" type="noConversion"/>
  </si>
  <si>
    <t>在剩余时间≥480秒时完成一局游戏</t>
    <phoneticPr fontId="6" type="noConversion"/>
  </si>
  <si>
    <t>在一局游戏中累计使用24个道具</t>
    <phoneticPr fontId="6" type="noConversion"/>
  </si>
  <si>
    <t>在一局游戏中累计获得12个条约</t>
    <phoneticPr fontId="6" type="noConversion"/>
  </si>
  <si>
    <t>忍者大师</t>
    <phoneticPr fontId="6" type="noConversion"/>
  </si>
  <si>
    <t>马拉松1</t>
    <phoneticPr fontId="6" type="noConversion"/>
  </si>
  <si>
    <t>马拉松2</t>
  </si>
  <si>
    <t>马拉松3</t>
  </si>
  <si>
    <t>马拉松4</t>
  </si>
  <si>
    <t>在一局游戏中完成12圈胡牌</t>
    <phoneticPr fontId="6" type="noConversion"/>
  </si>
  <si>
    <t>在一局游戏中完成16圈胡牌</t>
    <phoneticPr fontId="6" type="noConversion"/>
  </si>
  <si>
    <t>累计使用120个道具</t>
    <phoneticPr fontId="6" type="noConversion"/>
  </si>
  <si>
    <t>累计获得60个传奇奖励</t>
    <phoneticPr fontId="6" type="noConversion"/>
  </si>
  <si>
    <t>大富翁1</t>
    <phoneticPr fontId="6" type="noConversion"/>
  </si>
  <si>
    <t>大富翁2</t>
  </si>
  <si>
    <t>大富翁3</t>
  </si>
  <si>
    <t>获得300金币</t>
    <phoneticPr fontId="5" type="noConversion"/>
  </si>
  <si>
    <t>解锁25种道具</t>
    <phoneticPr fontId="6" type="noConversion"/>
  </si>
  <si>
    <t>解锁35种道具</t>
    <phoneticPr fontId="6" type="noConversion"/>
  </si>
  <si>
    <t>解锁35种条约</t>
    <phoneticPr fontId="6" type="noConversion"/>
  </si>
  <si>
    <t>最高分0分</t>
    <phoneticPr fontId="6" type="noConversion"/>
  </si>
  <si>
    <t>超算力限制无效</t>
    <phoneticPr fontId="6" type="noConversion"/>
  </si>
  <si>
    <t>香槟问题</t>
    <phoneticPr fontId="6" type="noConversion"/>
  </si>
  <si>
    <t>两圈胡牌</t>
    <phoneticPr fontId="6" type="noConversion"/>
  </si>
  <si>
    <t>增加总耗时功能</t>
    <phoneticPr fontId="6" type="noConversion"/>
  </si>
  <si>
    <t>麻将列表滚动</t>
    <phoneticPr fontId="6" type="noConversion"/>
  </si>
  <si>
    <t>流星雨</t>
    <phoneticPr fontId="6" type="noConversion"/>
  </si>
  <si>
    <t>如果通关本局游戏，金币奖励+100%</t>
    <phoneticPr fontId="5" type="noConversion"/>
  </si>
  <si>
    <t>键盘上下、左右按键功能调换，额外倍率x4</t>
    <phoneticPr fontId="6" type="noConversion"/>
  </si>
  <si>
    <t>下一个方块预览会被迷雾遮挡，额外倍率x2</t>
    <phoneticPr fontId="6" type="noConversion"/>
  </si>
  <si>
    <t>老派玩家</t>
    <phoneticPr fontId="6" type="noConversion"/>
  </si>
  <si>
    <t>0番</t>
    <phoneticPr fontId="6" type="noConversion"/>
  </si>
  <si>
    <t>碰的机制（待定）</t>
    <phoneticPr fontId="6" type="noConversion"/>
  </si>
  <si>
    <t>每轮游戏开始时，强行加入随机一个5格方块，额外倍率x8</t>
    <phoneticPr fontId="6" type="noConversion"/>
  </si>
  <si>
    <t>不可使用道具，额外倍率x4</t>
    <phoneticPr fontId="6" type="noConversion"/>
  </si>
  <si>
    <t>每轮游戏开始时，会将方块列表中所有方块随机变为其他方块，额外倍率x6</t>
    <phoneticPr fontId="6" type="noConversion"/>
  </si>
  <si>
    <t>胡牌时所有牌型都视为平胡，消行分数调整为：基础分x4的“连续消行数量”次方</t>
    <phoneticPr fontId="6" type="noConversion"/>
  </si>
  <si>
    <t>条约满的时候不能选条约</t>
    <phoneticPr fontId="6" type="noConversion"/>
  </si>
  <si>
    <t>超贵宾</t>
    <phoneticPr fontId="6" type="noConversion"/>
  </si>
  <si>
    <t>奖励刷新</t>
    <phoneticPr fontId="6" type="noConversion"/>
  </si>
  <si>
    <t>仙酒平衡</t>
    <phoneticPr fontId="6" type="noConversion"/>
  </si>
  <si>
    <t>基础分+30%，整局有效</t>
    <phoneticPr fontId="5" type="noConversion"/>
  </si>
  <si>
    <t>方块速度-6，整局有效</t>
    <phoneticPr fontId="5" type="noConversion"/>
  </si>
  <si>
    <t>方块速度-18，仅本轮有效</t>
    <phoneticPr fontId="5" type="noConversion"/>
  </si>
  <si>
    <t>接下来20个方块速度变为1，仅本轮有效</t>
    <phoneticPr fontId="5"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</si>
</sst>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0.00_ "/>
    <numFmt numFmtId="177" formatCode="0.0000_ "/>
    <numFmt numFmtId="178" formatCode="0.00000_ "/>
    <numFmt numFmtId="179" formatCode="0.0_ "/>
  </numFmts>
  <fonts count="13" x14ac:knownFonts="1">
    <font>
      <sz val="11"/>
      <color theme="1"/>
      <name val="宋体"/>
      <charset val="134"/>
      <scheme val="minor"/>
    </font>
    <font>
      <sz val="12"/>
      <color theme="1"/>
      <name val="等线"/>
      <family val="3"/>
      <charset val="134"/>
    </font>
    <font>
      <b/>
      <sz val="12"/>
      <color theme="1"/>
      <name val="等线"/>
      <family val="3"/>
      <charset val="134"/>
    </font>
    <font>
      <sz val="11"/>
      <color theme="1"/>
      <name val="等线"/>
      <family val="3"/>
      <charset val="134"/>
    </font>
    <font>
      <b/>
      <sz val="11"/>
      <color theme="1"/>
      <name val="等线"/>
      <family val="3"/>
      <charset val="134"/>
    </font>
    <font>
      <sz val="9"/>
      <name val="宋体"/>
      <family val="3"/>
      <charset val="134"/>
      <scheme val="minor"/>
    </font>
    <font>
      <sz val="9"/>
      <name val="宋体"/>
      <family val="3"/>
      <charset val="134"/>
      <scheme val="minor"/>
    </font>
    <font>
      <sz val="11"/>
      <color theme="1"/>
      <name val="等线"/>
      <family val="3"/>
      <charset val="134"/>
    </font>
    <font>
      <sz val="12"/>
      <color theme="1"/>
      <name val="等线"/>
      <family val="3"/>
      <charset val="134"/>
    </font>
    <font>
      <b/>
      <sz val="11"/>
      <color theme="1"/>
      <name val="等线"/>
      <family val="3"/>
      <charset val="134"/>
    </font>
    <font>
      <sz val="11"/>
      <color theme="1"/>
      <name val="宋体"/>
      <family val="3"/>
      <charset val="134"/>
      <scheme val="minor"/>
    </font>
    <font>
      <sz val="11"/>
      <color theme="1"/>
      <name val="宋体"/>
      <family val="3"/>
      <charset val="134"/>
    </font>
    <font>
      <sz val="10"/>
      <color theme="1"/>
      <name val="Arial"/>
      <family val="2"/>
    </font>
  </fonts>
  <fills count="8">
    <fill>
      <patternFill patternType="none"/>
    </fill>
    <fill>
      <patternFill patternType="gray125"/>
    </fill>
    <fill>
      <patternFill patternType="solid">
        <fgColor rgb="FF92D050"/>
        <bgColor indexed="64"/>
      </patternFill>
    </fill>
    <fill>
      <patternFill patternType="solid">
        <fgColor rgb="FFFFFF00"/>
        <bgColor indexed="64"/>
      </patternFill>
    </fill>
    <fill>
      <patternFill patternType="solid">
        <fgColor rgb="FFFFC000"/>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9"/>
        <bgColor indexed="64"/>
      </patternFill>
    </fill>
  </fills>
  <borders count="1">
    <border>
      <left/>
      <right/>
      <top/>
      <bottom/>
      <diagonal/>
    </border>
  </borders>
  <cellStyleXfs count="1">
    <xf numFmtId="0" fontId="0" fillId="0" borderId="0">
      <alignment vertical="center"/>
    </xf>
  </cellStyleXfs>
  <cellXfs count="55">
    <xf numFmtId="0" fontId="0" fillId="0" borderId="0" xfId="0">
      <alignment vertical="center"/>
    </xf>
    <xf numFmtId="0" fontId="1" fillId="0" borderId="0" xfId="0" applyFont="1" applyAlignment="1">
      <alignment horizontal="center" vertical="center"/>
    </xf>
    <xf numFmtId="0" fontId="1" fillId="0" borderId="0" xfId="0" applyFont="1">
      <alignment vertical="center"/>
    </xf>
    <xf numFmtId="0" fontId="1" fillId="0" borderId="0" xfId="0" applyFont="1" applyAlignment="1">
      <alignment vertical="center" wrapText="1"/>
    </xf>
    <xf numFmtId="0" fontId="2" fillId="0" borderId="0" xfId="0" applyFont="1" applyAlignment="1">
      <alignment horizontal="center" vertical="center"/>
    </xf>
    <xf numFmtId="0" fontId="2" fillId="0" borderId="0" xfId="0" applyFont="1" applyAlignment="1">
      <alignment horizontal="center" vertical="center" wrapText="1"/>
    </xf>
    <xf numFmtId="0" fontId="3" fillId="0" borderId="0" xfId="0" applyFont="1">
      <alignment vertical="center"/>
    </xf>
    <xf numFmtId="0" fontId="4" fillId="0" borderId="0" xfId="0" applyFont="1" applyAlignment="1">
      <alignment horizontal="center" vertical="center"/>
    </xf>
    <xf numFmtId="0" fontId="3" fillId="0" borderId="0" xfId="0" applyFont="1" applyAlignment="1">
      <alignment horizontal="center" vertical="center"/>
    </xf>
    <xf numFmtId="0" fontId="3" fillId="0" borderId="0" xfId="0" applyFont="1" applyAlignment="1">
      <alignment horizontal="left" vertical="center"/>
    </xf>
    <xf numFmtId="0" fontId="3" fillId="4" borderId="0" xfId="0" applyFont="1" applyFill="1" applyAlignment="1">
      <alignment horizontal="center" vertical="center"/>
    </xf>
    <xf numFmtId="176" fontId="3" fillId="0" borderId="0" xfId="0" applyNumberFormat="1" applyFont="1">
      <alignment vertical="center"/>
    </xf>
    <xf numFmtId="177" fontId="3" fillId="0" borderId="0" xfId="0" applyNumberFormat="1" applyFont="1">
      <alignment vertical="center"/>
    </xf>
    <xf numFmtId="178" fontId="3" fillId="0" borderId="0" xfId="0" applyNumberFormat="1" applyFont="1">
      <alignment vertical="center"/>
    </xf>
    <xf numFmtId="0" fontId="1" fillId="2" borderId="0" xfId="0" applyFont="1" applyFill="1" applyAlignment="1">
      <alignment horizontal="center" vertical="center"/>
    </xf>
    <xf numFmtId="0" fontId="4" fillId="0" borderId="0" xfId="0" applyFont="1">
      <alignment vertical="center"/>
    </xf>
    <xf numFmtId="179" fontId="3" fillId="0" borderId="0" xfId="0" applyNumberFormat="1" applyFont="1" applyAlignment="1">
      <alignment horizontal="right" vertical="center"/>
    </xf>
    <xf numFmtId="0" fontId="7" fillId="0" borderId="0" xfId="0" applyFont="1">
      <alignment vertical="center"/>
    </xf>
    <xf numFmtId="0" fontId="7" fillId="0" borderId="0" xfId="0" applyFont="1" applyAlignment="1">
      <alignment horizontal="center" vertical="center"/>
    </xf>
    <xf numFmtId="0" fontId="7" fillId="0" borderId="0" xfId="0" applyFont="1" applyAlignment="1">
      <alignment horizontal="left" vertical="center"/>
    </xf>
    <xf numFmtId="0" fontId="8" fillId="2" borderId="0" xfId="0" applyFont="1" applyFill="1">
      <alignment vertical="center"/>
    </xf>
    <xf numFmtId="0" fontId="8" fillId="2" borderId="0" xfId="0" applyFont="1" applyFill="1" applyAlignment="1">
      <alignment vertical="center" wrapText="1"/>
    </xf>
    <xf numFmtId="0" fontId="1" fillId="2" borderId="0" xfId="0" applyFont="1" applyFill="1">
      <alignment vertical="center"/>
    </xf>
    <xf numFmtId="0" fontId="1" fillId="2" borderId="0" xfId="0" applyFont="1" applyFill="1" applyAlignment="1">
      <alignment vertical="center" wrapText="1"/>
    </xf>
    <xf numFmtId="0" fontId="9" fillId="0" borderId="0" xfId="0" applyFont="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left" vertical="center"/>
    </xf>
    <xf numFmtId="0" fontId="7" fillId="5" borderId="0" xfId="0" applyFont="1" applyFill="1">
      <alignment vertical="center"/>
    </xf>
    <xf numFmtId="176" fontId="7" fillId="0" borderId="0" xfId="0" applyNumberFormat="1" applyFont="1" applyAlignment="1">
      <alignment horizontal="center" vertical="center"/>
    </xf>
    <xf numFmtId="176" fontId="3" fillId="0" borderId="0" xfId="0" applyNumberFormat="1" applyFont="1" applyAlignment="1">
      <alignment horizontal="center" vertical="center"/>
    </xf>
    <xf numFmtId="177" fontId="3" fillId="0" borderId="0" xfId="0" applyNumberFormat="1" applyFont="1" applyAlignment="1">
      <alignment horizontal="center" vertical="center"/>
    </xf>
    <xf numFmtId="178" fontId="3" fillId="0" borderId="0" xfId="0" applyNumberFormat="1" applyFont="1" applyAlignment="1">
      <alignment horizontal="center" vertical="center"/>
    </xf>
    <xf numFmtId="176" fontId="7" fillId="5" borderId="0" xfId="0" applyNumberFormat="1" applyFont="1" applyFill="1" applyAlignment="1">
      <alignment horizontal="center" vertical="center"/>
    </xf>
    <xf numFmtId="176" fontId="3" fillId="5" borderId="0" xfId="0" applyNumberFormat="1" applyFont="1" applyFill="1" applyAlignment="1">
      <alignment horizontal="center" vertical="center"/>
    </xf>
    <xf numFmtId="0" fontId="10" fillId="0" borderId="0" xfId="0" applyFont="1">
      <alignment vertical="center"/>
    </xf>
    <xf numFmtId="0" fontId="3" fillId="3" borderId="0" xfId="0" applyFont="1" applyFill="1">
      <alignment vertical="center"/>
    </xf>
    <xf numFmtId="0" fontId="4" fillId="0" borderId="0" xfId="0" applyFont="1" applyAlignment="1">
      <alignment horizontal="center" vertical="center" wrapText="1"/>
    </xf>
    <xf numFmtId="0" fontId="4" fillId="0" borderId="0" xfId="0" applyFont="1" applyAlignment="1">
      <alignment horizontal="left" vertical="center" wrapText="1"/>
    </xf>
    <xf numFmtId="0" fontId="4" fillId="0" borderId="0" xfId="0" applyFont="1" applyAlignment="1">
      <alignment horizontal="left" vertical="center"/>
    </xf>
    <xf numFmtId="0" fontId="3" fillId="0" borderId="0" xfId="0" applyFont="1" applyAlignment="1">
      <alignment horizontal="center" vertical="center" wrapText="1"/>
    </xf>
    <xf numFmtId="0" fontId="3" fillId="0" borderId="0" xfId="0" applyFont="1" applyAlignment="1">
      <alignment horizontal="left" vertical="center" wrapText="1"/>
    </xf>
    <xf numFmtId="0" fontId="3" fillId="0" borderId="0" xfId="0" applyFont="1" applyAlignment="1">
      <alignment horizontal="center" wrapText="1"/>
    </xf>
    <xf numFmtId="0" fontId="3" fillId="0" borderId="0" xfId="0" applyFont="1" applyAlignment="1">
      <alignment horizontal="left" wrapText="1"/>
    </xf>
    <xf numFmtId="0" fontId="3" fillId="0" borderId="0" xfId="0" applyFont="1" applyAlignment="1">
      <alignment wrapText="1"/>
    </xf>
    <xf numFmtId="0" fontId="3" fillId="0" borderId="0" xfId="0" applyFont="1" applyAlignment="1">
      <alignment vertical="center" wrapText="1"/>
    </xf>
    <xf numFmtId="0" fontId="12" fillId="0" borderId="0" xfId="0" applyFont="1" applyAlignment="1">
      <alignment vertical="center" wrapText="1"/>
    </xf>
    <xf numFmtId="0" fontId="12" fillId="0" borderId="0" xfId="0" applyFont="1">
      <alignment vertical="center"/>
    </xf>
    <xf numFmtId="0" fontId="7" fillId="6" borderId="0" xfId="0" applyFont="1" applyFill="1">
      <alignment vertical="center"/>
    </xf>
    <xf numFmtId="0" fontId="3" fillId="6" borderId="0" xfId="0" applyFont="1" applyFill="1" applyAlignment="1">
      <alignment horizontal="left" vertical="center"/>
    </xf>
    <xf numFmtId="0" fontId="3" fillId="6" borderId="0" xfId="0" applyFont="1" applyFill="1">
      <alignment vertical="center"/>
    </xf>
    <xf numFmtId="0" fontId="7" fillId="6" borderId="0" xfId="0" applyFont="1" applyFill="1" applyAlignment="1">
      <alignment horizontal="left" vertical="center"/>
    </xf>
    <xf numFmtId="0" fontId="7" fillId="6" borderId="0" xfId="0" applyFont="1" applyFill="1" applyAlignment="1">
      <alignment horizontal="center" vertical="center"/>
    </xf>
    <xf numFmtId="0" fontId="3" fillId="6" borderId="0" xfId="0" applyFont="1" applyFill="1" applyAlignment="1">
      <alignment horizontal="center" vertical="center"/>
    </xf>
    <xf numFmtId="0" fontId="3" fillId="7" borderId="0" xfId="0" applyFont="1" applyFill="1" applyAlignment="1">
      <alignment horizontal="center" vertical="center"/>
    </xf>
    <xf numFmtId="176" fontId="3" fillId="0" borderId="0" xfId="0" applyNumberFormat="1" applyFont="1" applyAlignment="1">
      <alignment vertical="center" wrapText="1"/>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74"/>
  <sheetViews>
    <sheetView topLeftCell="A22" zoomScale="190" zoomScaleNormal="190" workbookViewId="0">
      <selection activeCell="C47" sqref="C47"/>
    </sheetView>
  </sheetViews>
  <sheetFormatPr defaultColWidth="9" defaultRowHeight="14.25" x14ac:dyDescent="0.15"/>
  <cols>
    <col min="1" max="5" width="13.625" style="6" customWidth="1"/>
    <col min="6" max="7" width="13.125" style="6" customWidth="1"/>
    <col min="8" max="8" width="18.5" style="6" customWidth="1"/>
    <col min="9" max="9" width="11" style="6" customWidth="1"/>
    <col min="10" max="13" width="9" style="6"/>
    <col min="14" max="14" width="12.625" style="6"/>
    <col min="15" max="16384" width="9" style="6"/>
  </cols>
  <sheetData>
    <row r="1" spans="1:9" x14ac:dyDescent="0.15">
      <c r="A1" s="15" t="s">
        <v>0</v>
      </c>
    </row>
    <row r="2" spans="1:9" x14ac:dyDescent="0.15">
      <c r="A2" s="6" t="s">
        <v>1</v>
      </c>
      <c r="H2" s="6" t="s">
        <v>2</v>
      </c>
    </row>
    <row r="3" spans="1:9" x14ac:dyDescent="0.15">
      <c r="A3" s="6" t="s">
        <v>3</v>
      </c>
      <c r="H3" s="6" t="s">
        <v>4</v>
      </c>
    </row>
    <row r="4" spans="1:9" x14ac:dyDescent="0.15">
      <c r="A4" s="6" t="s">
        <v>5</v>
      </c>
      <c r="H4" s="6" t="s">
        <v>6</v>
      </c>
    </row>
    <row r="5" spans="1:9" x14ac:dyDescent="0.15">
      <c r="A5" s="6" t="s">
        <v>7</v>
      </c>
      <c r="H5" s="6" t="s">
        <v>8</v>
      </c>
    </row>
    <row r="6" spans="1:9" x14ac:dyDescent="0.15">
      <c r="A6" s="6" t="s">
        <v>9</v>
      </c>
      <c r="H6" s="6" t="s">
        <v>10</v>
      </c>
    </row>
    <row r="7" spans="1:9" x14ac:dyDescent="0.15">
      <c r="A7" s="6" t="s">
        <v>11</v>
      </c>
      <c r="H7" s="6" t="s">
        <v>12</v>
      </c>
      <c r="I7" s="6" t="s">
        <v>13</v>
      </c>
    </row>
    <row r="8" spans="1:9" x14ac:dyDescent="0.15">
      <c r="A8" s="6" t="s">
        <v>14</v>
      </c>
      <c r="H8" s="6" t="s">
        <v>15</v>
      </c>
      <c r="I8" s="6" t="s">
        <v>16</v>
      </c>
    </row>
    <row r="9" spans="1:9" x14ac:dyDescent="0.15">
      <c r="A9" s="6" t="s">
        <v>17</v>
      </c>
      <c r="H9" s="6" t="s">
        <v>18</v>
      </c>
      <c r="I9" s="6" t="s">
        <v>19</v>
      </c>
    </row>
    <row r="11" spans="1:9" x14ac:dyDescent="0.15">
      <c r="A11" s="7" t="s">
        <v>20</v>
      </c>
      <c r="B11" s="7" t="s">
        <v>21</v>
      </c>
      <c r="C11" s="7" t="s">
        <v>22</v>
      </c>
      <c r="D11" s="7" t="s">
        <v>23</v>
      </c>
    </row>
    <row r="12" spans="1:9" x14ac:dyDescent="0.15">
      <c r="A12" s="17" t="s">
        <v>310</v>
      </c>
      <c r="B12" s="8">
        <v>1</v>
      </c>
      <c r="C12" s="8">
        <f t="shared" ref="C12" si="0">2^B12</f>
        <v>2</v>
      </c>
      <c r="D12" s="17" t="s">
        <v>306</v>
      </c>
      <c r="H12" s="6" t="s">
        <v>24</v>
      </c>
    </row>
    <row r="13" spans="1:9" x14ac:dyDescent="0.15">
      <c r="A13" s="17" t="s">
        <v>309</v>
      </c>
      <c r="B13" s="8">
        <v>3</v>
      </c>
      <c r="C13" s="8">
        <f t="shared" ref="C13:C20" si="1">2^B13</f>
        <v>8</v>
      </c>
      <c r="D13" s="17" t="s">
        <v>302</v>
      </c>
      <c r="H13" s="6" t="s">
        <v>25</v>
      </c>
    </row>
    <row r="14" spans="1:9" x14ac:dyDescent="0.15">
      <c r="A14" s="6" t="s">
        <v>26</v>
      </c>
      <c r="B14" s="8">
        <v>5</v>
      </c>
      <c r="C14" s="8">
        <f t="shared" si="1"/>
        <v>32</v>
      </c>
      <c r="D14" s="17" t="s">
        <v>303</v>
      </c>
    </row>
    <row r="15" spans="1:9" x14ac:dyDescent="0.15">
      <c r="A15" s="17" t="s">
        <v>304</v>
      </c>
      <c r="B15" s="8">
        <v>4</v>
      </c>
      <c r="C15" s="8">
        <f t="shared" si="1"/>
        <v>16</v>
      </c>
      <c r="D15" s="17" t="s">
        <v>305</v>
      </c>
      <c r="H15" s="6" t="s">
        <v>27</v>
      </c>
    </row>
    <row r="16" spans="1:9" x14ac:dyDescent="0.15">
      <c r="A16" s="6" t="s">
        <v>336</v>
      </c>
      <c r="B16" s="8"/>
      <c r="C16" s="8"/>
      <c r="D16" s="17"/>
    </row>
    <row r="17" spans="1:14" x14ac:dyDescent="0.15">
      <c r="A17" s="17" t="s">
        <v>301</v>
      </c>
      <c r="B17" s="8">
        <v>4</v>
      </c>
      <c r="C17" s="8">
        <f t="shared" si="1"/>
        <v>16</v>
      </c>
      <c r="D17" s="17" t="s">
        <v>311</v>
      </c>
      <c r="H17" s="6" t="s">
        <v>28</v>
      </c>
    </row>
    <row r="18" spans="1:14" x14ac:dyDescent="0.15">
      <c r="A18" s="17" t="s">
        <v>307</v>
      </c>
      <c r="B18" s="8">
        <v>5</v>
      </c>
      <c r="C18" s="8">
        <f t="shared" si="1"/>
        <v>32</v>
      </c>
      <c r="D18" s="17" t="s">
        <v>308</v>
      </c>
    </row>
    <row r="19" spans="1:14" x14ac:dyDescent="0.15">
      <c r="A19" s="6" t="s">
        <v>30</v>
      </c>
      <c r="B19" s="8">
        <v>4</v>
      </c>
      <c r="C19" s="8">
        <f t="shared" si="1"/>
        <v>16</v>
      </c>
      <c r="D19" s="6" t="s">
        <v>31</v>
      </c>
      <c r="H19" s="6" t="s">
        <v>29</v>
      </c>
    </row>
    <row r="20" spans="1:14" x14ac:dyDescent="0.15">
      <c r="A20" s="6" t="s">
        <v>33</v>
      </c>
      <c r="B20" s="8">
        <v>6</v>
      </c>
      <c r="C20" s="8">
        <f t="shared" si="1"/>
        <v>64</v>
      </c>
      <c r="D20" s="6" t="s">
        <v>34</v>
      </c>
      <c r="H20" s="6" t="s">
        <v>32</v>
      </c>
    </row>
    <row r="21" spans="1:14" x14ac:dyDescent="0.15">
      <c r="H21" s="6" t="s">
        <v>35</v>
      </c>
    </row>
    <row r="26" spans="1:14" x14ac:dyDescent="0.15">
      <c r="J26" s="6">
        <v>1</v>
      </c>
      <c r="K26" s="6">
        <v>0.25</v>
      </c>
      <c r="L26" s="6">
        <v>5</v>
      </c>
      <c r="N26" s="16">
        <f t="shared" ref="N26:N33" si="2">J26/K26</f>
        <v>4</v>
      </c>
    </row>
    <row r="27" spans="1:14" x14ac:dyDescent="0.15">
      <c r="J27" s="6">
        <v>1</v>
      </c>
      <c r="K27" s="6">
        <v>0.5</v>
      </c>
      <c r="L27" s="6">
        <v>10</v>
      </c>
      <c r="N27" s="16">
        <f t="shared" si="2"/>
        <v>2</v>
      </c>
    </row>
    <row r="28" spans="1:14" x14ac:dyDescent="0.15">
      <c r="J28" s="6">
        <v>1</v>
      </c>
      <c r="K28" s="6">
        <v>0.75</v>
      </c>
      <c r="L28" s="6">
        <v>15</v>
      </c>
      <c r="N28" s="16">
        <f t="shared" si="2"/>
        <v>1.3333333333333333</v>
      </c>
    </row>
    <row r="29" spans="1:14" x14ac:dyDescent="0.15">
      <c r="A29" s="7" t="s">
        <v>36</v>
      </c>
      <c r="B29" s="7" t="s">
        <v>21</v>
      </c>
      <c r="C29" s="7" t="s">
        <v>22</v>
      </c>
      <c r="D29" s="7" t="s">
        <v>37</v>
      </c>
      <c r="E29" s="7" t="s">
        <v>38</v>
      </c>
      <c r="J29" s="6">
        <v>1</v>
      </c>
      <c r="K29" s="6">
        <v>1</v>
      </c>
      <c r="L29" s="6">
        <v>20</v>
      </c>
      <c r="N29" s="16">
        <f t="shared" si="2"/>
        <v>1</v>
      </c>
    </row>
    <row r="30" spans="1:14" x14ac:dyDescent="0.15">
      <c r="A30" s="8">
        <v>10</v>
      </c>
      <c r="B30" s="8">
        <v>1</v>
      </c>
      <c r="C30" s="8">
        <v>26</v>
      </c>
      <c r="D30" s="8">
        <v>1</v>
      </c>
      <c r="E30" s="8">
        <f t="shared" ref="E30:E32" si="3">A30*(2^B30)*C30*D30</f>
        <v>520</v>
      </c>
      <c r="J30" s="6">
        <v>1</v>
      </c>
      <c r="K30" s="6">
        <v>1.25</v>
      </c>
      <c r="L30" s="6">
        <v>25</v>
      </c>
      <c r="N30" s="16">
        <f t="shared" si="2"/>
        <v>0.8</v>
      </c>
    </row>
    <row r="31" spans="1:14" x14ac:dyDescent="0.15">
      <c r="A31" s="8">
        <v>20</v>
      </c>
      <c r="B31" s="8">
        <v>2</v>
      </c>
      <c r="C31" s="8">
        <v>62</v>
      </c>
      <c r="D31" s="8">
        <v>2</v>
      </c>
      <c r="E31" s="8">
        <f t="shared" si="3"/>
        <v>9920</v>
      </c>
      <c r="J31" s="6">
        <v>1</v>
      </c>
      <c r="K31" s="6">
        <v>1.5</v>
      </c>
      <c r="L31" s="6">
        <v>30</v>
      </c>
      <c r="N31" s="16">
        <f t="shared" si="2"/>
        <v>0.66666666666666663</v>
      </c>
    </row>
    <row r="32" spans="1:14" x14ac:dyDescent="0.15">
      <c r="A32" s="8">
        <v>80</v>
      </c>
      <c r="B32" s="8">
        <v>4</v>
      </c>
      <c r="C32" s="8">
        <v>110</v>
      </c>
      <c r="D32" s="8">
        <v>8</v>
      </c>
      <c r="E32" s="8">
        <f t="shared" si="3"/>
        <v>1126400</v>
      </c>
      <c r="J32" s="6">
        <v>1</v>
      </c>
      <c r="K32" s="6">
        <v>1.75</v>
      </c>
      <c r="L32" s="6">
        <v>35</v>
      </c>
      <c r="N32" s="16">
        <f t="shared" si="2"/>
        <v>0.5714285714285714</v>
      </c>
    </row>
    <row r="33" spans="1:14" x14ac:dyDescent="0.15">
      <c r="E33" s="8"/>
      <c r="J33" s="6">
        <v>1</v>
      </c>
      <c r="K33" s="6">
        <v>2</v>
      </c>
      <c r="L33" s="6">
        <v>40</v>
      </c>
      <c r="N33" s="16">
        <f t="shared" si="2"/>
        <v>0.5</v>
      </c>
    </row>
    <row r="34" spans="1:14" x14ac:dyDescent="0.15">
      <c r="A34" s="7" t="s">
        <v>36</v>
      </c>
      <c r="B34" s="7" t="s">
        <v>39</v>
      </c>
      <c r="C34" s="7" t="s">
        <v>40</v>
      </c>
      <c r="D34" s="7" t="s">
        <v>41</v>
      </c>
      <c r="E34" s="7" t="s">
        <v>38</v>
      </c>
    </row>
    <row r="35" spans="1:14" x14ac:dyDescent="0.15">
      <c r="A35" s="8">
        <v>60</v>
      </c>
      <c r="B35" s="8">
        <v>512</v>
      </c>
      <c r="C35" s="8">
        <v>60</v>
      </c>
      <c r="D35" s="8">
        <v>360</v>
      </c>
      <c r="E35" s="8">
        <f>A35*B35*C35*D35</f>
        <v>663552000</v>
      </c>
    </row>
    <row r="37" spans="1:14" x14ac:dyDescent="0.15">
      <c r="A37" s="7" t="s">
        <v>42</v>
      </c>
      <c r="B37" s="7" t="s">
        <v>917</v>
      </c>
      <c r="C37" s="7" t="s">
        <v>918</v>
      </c>
      <c r="D37" s="7"/>
      <c r="E37" s="7"/>
      <c r="F37" s="7"/>
      <c r="J37" s="6">
        <v>1</v>
      </c>
      <c r="K37" s="6">
        <f>2^J37</f>
        <v>2</v>
      </c>
      <c r="L37" s="6">
        <f>3^J37</f>
        <v>3</v>
      </c>
    </row>
    <row r="38" spans="1:14" x14ac:dyDescent="0.15">
      <c r="A38" s="8" t="s">
        <v>44</v>
      </c>
      <c r="B38" s="8">
        <v>5000</v>
      </c>
      <c r="C38" s="8">
        <v>300</v>
      </c>
      <c r="D38" s="8"/>
      <c r="E38" s="8"/>
      <c r="F38" s="9"/>
      <c r="J38" s="6">
        <v>2</v>
      </c>
      <c r="K38" s="6">
        <f t="shared" ref="K38:K52" si="4">2^J38</f>
        <v>4</v>
      </c>
      <c r="L38" s="6">
        <f t="shared" ref="L38:L52" si="5">3^J38</f>
        <v>9</v>
      </c>
    </row>
    <row r="39" spans="1:14" x14ac:dyDescent="0.15">
      <c r="A39" s="8" t="s">
        <v>349</v>
      </c>
      <c r="B39" s="8">
        <v>100000</v>
      </c>
      <c r="C39" s="8">
        <v>800</v>
      </c>
      <c r="D39" s="8"/>
      <c r="E39" s="8"/>
      <c r="F39" s="9"/>
      <c r="J39" s="6">
        <v>3</v>
      </c>
      <c r="K39" s="6">
        <f t="shared" si="4"/>
        <v>8</v>
      </c>
      <c r="L39" s="6">
        <f t="shared" si="5"/>
        <v>27</v>
      </c>
    </row>
    <row r="40" spans="1:14" x14ac:dyDescent="0.15">
      <c r="A40" s="8" t="s">
        <v>45</v>
      </c>
      <c r="B40" s="8">
        <v>5000000</v>
      </c>
      <c r="C40" s="8">
        <v>2000</v>
      </c>
      <c r="D40" s="8"/>
      <c r="E40" s="8"/>
      <c r="F40" s="9"/>
      <c r="J40" s="6">
        <v>4</v>
      </c>
      <c r="K40" s="6">
        <f t="shared" si="4"/>
        <v>16</v>
      </c>
      <c r="L40" s="6">
        <f t="shared" si="5"/>
        <v>81</v>
      </c>
    </row>
    <row r="41" spans="1:14" x14ac:dyDescent="0.15">
      <c r="A41" s="8" t="s">
        <v>350</v>
      </c>
      <c r="B41" s="8">
        <v>1000000000</v>
      </c>
      <c r="C41" s="8">
        <v>30000</v>
      </c>
      <c r="J41" s="6">
        <v>5</v>
      </c>
      <c r="K41" s="6">
        <f t="shared" si="4"/>
        <v>32</v>
      </c>
      <c r="L41" s="6">
        <f t="shared" si="5"/>
        <v>243</v>
      </c>
    </row>
    <row r="42" spans="1:14" x14ac:dyDescent="0.15">
      <c r="J42" s="6">
        <v>6</v>
      </c>
      <c r="K42" s="6">
        <f t="shared" si="4"/>
        <v>64</v>
      </c>
      <c r="L42" s="6">
        <f t="shared" si="5"/>
        <v>729</v>
      </c>
    </row>
    <row r="43" spans="1:14" x14ac:dyDescent="0.15">
      <c r="A43" s="7"/>
      <c r="B43" s="7"/>
      <c r="D43" s="7"/>
      <c r="E43" s="7"/>
      <c r="F43" s="7"/>
      <c r="J43" s="6">
        <v>7</v>
      </c>
      <c r="K43" s="6">
        <f t="shared" si="4"/>
        <v>128</v>
      </c>
      <c r="L43" s="6">
        <f t="shared" si="5"/>
        <v>2187</v>
      </c>
    </row>
    <row r="44" spans="1:14" x14ac:dyDescent="0.15">
      <c r="A44" s="8"/>
      <c r="B44" s="8"/>
      <c r="D44" s="8"/>
      <c r="E44" s="8"/>
      <c r="F44" s="8"/>
      <c r="J44" s="6">
        <v>8</v>
      </c>
      <c r="K44" s="6">
        <f t="shared" si="4"/>
        <v>256</v>
      </c>
      <c r="L44" s="6">
        <f t="shared" si="5"/>
        <v>6561</v>
      </c>
    </row>
    <row r="45" spans="1:14" x14ac:dyDescent="0.15">
      <c r="A45" s="8"/>
      <c r="B45" s="8"/>
      <c r="D45" s="8"/>
      <c r="E45" s="8"/>
      <c r="F45" s="8"/>
      <c r="J45" s="6">
        <v>9</v>
      </c>
      <c r="K45" s="6">
        <f t="shared" si="4"/>
        <v>512</v>
      </c>
      <c r="L45" s="6">
        <f t="shared" si="5"/>
        <v>19683</v>
      </c>
    </row>
    <row r="46" spans="1:14" x14ac:dyDescent="0.15">
      <c r="A46" s="8"/>
      <c r="B46" s="8"/>
      <c r="D46" s="8"/>
      <c r="E46" s="8"/>
      <c r="F46" s="8"/>
      <c r="J46" s="6">
        <v>10</v>
      </c>
      <c r="K46" s="6">
        <f t="shared" si="4"/>
        <v>1024</v>
      </c>
      <c r="L46" s="6">
        <f t="shared" si="5"/>
        <v>59049</v>
      </c>
    </row>
    <row r="47" spans="1:14" x14ac:dyDescent="0.15">
      <c r="A47" s="8"/>
      <c r="B47" s="8"/>
      <c r="D47" s="8"/>
      <c r="E47" s="8"/>
      <c r="F47" s="8"/>
      <c r="J47" s="6">
        <v>11</v>
      </c>
      <c r="K47" s="6">
        <f t="shared" si="4"/>
        <v>2048</v>
      </c>
      <c r="L47" s="6">
        <f t="shared" si="5"/>
        <v>177147</v>
      </c>
    </row>
    <row r="48" spans="1:14" x14ac:dyDescent="0.15">
      <c r="A48" s="8"/>
      <c r="B48" s="8"/>
      <c r="D48" s="8"/>
      <c r="E48" s="8"/>
      <c r="F48" s="8"/>
      <c r="J48" s="6">
        <v>12</v>
      </c>
      <c r="K48" s="6">
        <f t="shared" si="4"/>
        <v>4096</v>
      </c>
      <c r="L48" s="6">
        <f t="shared" si="5"/>
        <v>531441</v>
      </c>
    </row>
    <row r="49" spans="1:12" x14ac:dyDescent="0.15">
      <c r="A49" s="8"/>
      <c r="B49" s="8"/>
      <c r="D49" s="8"/>
      <c r="E49" s="8"/>
      <c r="F49" s="8"/>
      <c r="J49" s="6">
        <v>13</v>
      </c>
      <c r="K49" s="6">
        <f t="shared" si="4"/>
        <v>8192</v>
      </c>
      <c r="L49" s="6">
        <f t="shared" si="5"/>
        <v>1594323</v>
      </c>
    </row>
    <row r="50" spans="1:12" x14ac:dyDescent="0.15">
      <c r="A50" s="8"/>
      <c r="B50" s="8"/>
      <c r="D50" s="8"/>
      <c r="E50" s="8"/>
      <c r="F50" s="8"/>
      <c r="J50" s="6">
        <v>14</v>
      </c>
      <c r="K50" s="6">
        <f t="shared" si="4"/>
        <v>16384</v>
      </c>
      <c r="L50" s="6">
        <f t="shared" si="5"/>
        <v>4782969</v>
      </c>
    </row>
    <row r="51" spans="1:12" x14ac:dyDescent="0.15">
      <c r="A51" s="8"/>
      <c r="B51" s="8"/>
      <c r="D51" s="8"/>
      <c r="E51" s="8"/>
      <c r="F51" s="8"/>
      <c r="J51" s="6">
        <v>15</v>
      </c>
      <c r="K51" s="6">
        <f t="shared" si="4"/>
        <v>32768</v>
      </c>
      <c r="L51" s="6">
        <f t="shared" si="5"/>
        <v>14348907</v>
      </c>
    </row>
    <row r="52" spans="1:12" x14ac:dyDescent="0.15">
      <c r="A52" s="7"/>
      <c r="J52" s="6">
        <v>16</v>
      </c>
      <c r="K52" s="6">
        <f t="shared" si="4"/>
        <v>65536</v>
      </c>
      <c r="L52" s="6">
        <f t="shared" si="5"/>
        <v>43046721</v>
      </c>
    </row>
    <row r="53" spans="1:12" x14ac:dyDescent="0.15">
      <c r="A53" s="8"/>
    </row>
    <row r="54" spans="1:12" x14ac:dyDescent="0.15">
      <c r="A54" s="8"/>
    </row>
    <row r="55" spans="1:12" x14ac:dyDescent="0.15">
      <c r="A55" s="8"/>
      <c r="I55" s="6">
        <v>1</v>
      </c>
      <c r="J55" s="6">
        <f>14100*I55</f>
        <v>14100</v>
      </c>
    </row>
    <row r="56" spans="1:12" x14ac:dyDescent="0.15">
      <c r="A56" s="8"/>
      <c r="I56" s="6">
        <f>I55*1.02</f>
        <v>1.02</v>
      </c>
      <c r="J56" s="6">
        <f t="shared" ref="J56:J74" si="6">14100*I56</f>
        <v>14382</v>
      </c>
    </row>
    <row r="57" spans="1:12" x14ac:dyDescent="0.15">
      <c r="A57" s="8"/>
      <c r="I57" s="6">
        <f t="shared" ref="I57:I74" si="7">I56*1.02</f>
        <v>1.0404</v>
      </c>
      <c r="J57" s="6">
        <f t="shared" si="6"/>
        <v>14669.64</v>
      </c>
    </row>
    <row r="58" spans="1:12" x14ac:dyDescent="0.15">
      <c r="A58" s="8"/>
      <c r="I58" s="6">
        <f t="shared" si="7"/>
        <v>1.0612079999999999</v>
      </c>
      <c r="J58" s="6">
        <f t="shared" si="6"/>
        <v>14963.032799999999</v>
      </c>
    </row>
    <row r="59" spans="1:12" x14ac:dyDescent="0.15">
      <c r="A59" s="8"/>
      <c r="I59" s="6">
        <f t="shared" si="7"/>
        <v>1.08243216</v>
      </c>
      <c r="J59" s="6">
        <f t="shared" si="6"/>
        <v>15262.293455999999</v>
      </c>
    </row>
    <row r="60" spans="1:12" x14ac:dyDescent="0.15">
      <c r="A60" s="8"/>
      <c r="I60" s="6">
        <f t="shared" si="7"/>
        <v>1.1040808032</v>
      </c>
      <c r="J60" s="6">
        <f t="shared" si="6"/>
        <v>15567.53932512</v>
      </c>
    </row>
    <row r="61" spans="1:12" x14ac:dyDescent="0.15">
      <c r="A61" s="8"/>
      <c r="I61" s="6">
        <f t="shared" si="7"/>
        <v>1.1261624192640001</v>
      </c>
      <c r="J61" s="6">
        <f t="shared" si="6"/>
        <v>15878.890111622401</v>
      </c>
    </row>
    <row r="62" spans="1:12" x14ac:dyDescent="0.15">
      <c r="A62" s="8"/>
      <c r="I62" s="6">
        <f t="shared" si="7"/>
        <v>1.14868566764928</v>
      </c>
      <c r="J62" s="6">
        <f t="shared" si="6"/>
        <v>16196.467913854849</v>
      </c>
    </row>
    <row r="63" spans="1:12" x14ac:dyDescent="0.15">
      <c r="A63" s="8"/>
      <c r="I63" s="6">
        <f>I62*1.02</f>
        <v>1.1716593810022657</v>
      </c>
      <c r="J63" s="6">
        <f t="shared" si="6"/>
        <v>16520.397272131948</v>
      </c>
    </row>
    <row r="64" spans="1:12" x14ac:dyDescent="0.15">
      <c r="A64" s="8"/>
      <c r="I64" s="6">
        <f t="shared" si="7"/>
        <v>1.1950925686223111</v>
      </c>
      <c r="J64" s="6">
        <f t="shared" si="6"/>
        <v>16850.805217574587</v>
      </c>
    </row>
    <row r="65" spans="1:10" x14ac:dyDescent="0.15">
      <c r="A65" s="8"/>
      <c r="I65" s="6">
        <f t="shared" si="7"/>
        <v>1.2189944199947573</v>
      </c>
      <c r="J65" s="6">
        <f t="shared" si="6"/>
        <v>17187.82132192608</v>
      </c>
    </row>
    <row r="66" spans="1:10" x14ac:dyDescent="0.15">
      <c r="A66" s="8"/>
      <c r="I66" s="6">
        <f t="shared" si="7"/>
        <v>1.2433743083946525</v>
      </c>
      <c r="J66" s="6">
        <f t="shared" si="6"/>
        <v>17531.577748364598</v>
      </c>
    </row>
    <row r="67" spans="1:10" x14ac:dyDescent="0.15">
      <c r="A67" s="8"/>
      <c r="I67" s="6">
        <f t="shared" si="7"/>
        <v>1.2682417945625455</v>
      </c>
      <c r="J67" s="6">
        <f t="shared" si="6"/>
        <v>17882.209303331892</v>
      </c>
    </row>
    <row r="68" spans="1:10" x14ac:dyDescent="0.15">
      <c r="I68" s="6">
        <f t="shared" si="7"/>
        <v>1.2936066304537963</v>
      </c>
      <c r="J68" s="6">
        <f t="shared" si="6"/>
        <v>18239.853489398527</v>
      </c>
    </row>
    <row r="69" spans="1:10" x14ac:dyDescent="0.15">
      <c r="I69" s="6">
        <f t="shared" si="7"/>
        <v>1.3194787630628724</v>
      </c>
      <c r="J69" s="6">
        <f t="shared" si="6"/>
        <v>18604.650559186499</v>
      </c>
    </row>
    <row r="70" spans="1:10" x14ac:dyDescent="0.15">
      <c r="I70" s="6">
        <f t="shared" si="7"/>
        <v>1.3458683383241299</v>
      </c>
      <c r="J70" s="6">
        <f t="shared" si="6"/>
        <v>18976.743570370232</v>
      </c>
    </row>
    <row r="71" spans="1:10" x14ac:dyDescent="0.15">
      <c r="I71" s="6">
        <f t="shared" si="7"/>
        <v>1.3727857050906125</v>
      </c>
      <c r="J71" s="6">
        <f t="shared" si="6"/>
        <v>19356.278441777635</v>
      </c>
    </row>
    <row r="72" spans="1:10" x14ac:dyDescent="0.15">
      <c r="I72" s="6">
        <f t="shared" si="7"/>
        <v>1.4002414191924248</v>
      </c>
      <c r="J72" s="6">
        <f t="shared" si="6"/>
        <v>19743.404010613191</v>
      </c>
    </row>
    <row r="73" spans="1:10" x14ac:dyDescent="0.15">
      <c r="I73" s="6">
        <f t="shared" si="7"/>
        <v>1.4282462475762734</v>
      </c>
      <c r="J73" s="6">
        <f t="shared" si="6"/>
        <v>20138.272090825456</v>
      </c>
    </row>
    <row r="74" spans="1:10" x14ac:dyDescent="0.15">
      <c r="I74" s="6">
        <f t="shared" si="7"/>
        <v>1.4568111725277988</v>
      </c>
      <c r="J74" s="6">
        <f t="shared" si="6"/>
        <v>20541.037532641963</v>
      </c>
    </row>
  </sheetData>
  <phoneticPr fontId="6" type="noConversion"/>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32"/>
  <sheetViews>
    <sheetView zoomScale="160" zoomScaleNormal="160" workbookViewId="0">
      <selection activeCell="D13" sqref="D4:D13"/>
    </sheetView>
  </sheetViews>
  <sheetFormatPr defaultColWidth="9" defaultRowHeight="14.25" x14ac:dyDescent="0.15"/>
  <cols>
    <col min="1" max="4" width="9" style="6"/>
    <col min="5" max="5" width="13" style="9" customWidth="1"/>
    <col min="6" max="16384" width="9" style="6"/>
  </cols>
  <sheetData>
    <row r="1" spans="1:5" x14ac:dyDescent="0.15">
      <c r="A1" s="7" t="s">
        <v>46</v>
      </c>
      <c r="B1" s="7" t="s">
        <v>47</v>
      </c>
      <c r="C1" s="7" t="s">
        <v>48</v>
      </c>
      <c r="D1" s="7" t="s">
        <v>22</v>
      </c>
      <c r="E1" s="7" t="s">
        <v>23</v>
      </c>
    </row>
    <row r="2" spans="1:5" x14ac:dyDescent="0.15">
      <c r="A2" s="8">
        <v>1</v>
      </c>
      <c r="B2" s="8" t="s">
        <v>49</v>
      </c>
      <c r="C2" s="8">
        <v>1</v>
      </c>
      <c r="D2" s="8">
        <v>0</v>
      </c>
      <c r="E2" s="9" t="s">
        <v>50</v>
      </c>
    </row>
    <row r="3" spans="1:5" x14ac:dyDescent="0.15">
      <c r="A3" s="8">
        <v>2</v>
      </c>
      <c r="B3" s="8" t="s">
        <v>51</v>
      </c>
      <c r="C3" s="8">
        <v>1</v>
      </c>
      <c r="D3" s="8">
        <v>0</v>
      </c>
      <c r="E3" s="9" t="s">
        <v>52</v>
      </c>
    </row>
    <row r="4" spans="1:5" x14ac:dyDescent="0.15">
      <c r="A4" s="8">
        <v>3</v>
      </c>
      <c r="B4" s="8" t="s">
        <v>53</v>
      </c>
      <c r="C4" s="8">
        <v>1</v>
      </c>
      <c r="D4" s="8">
        <v>1</v>
      </c>
    </row>
    <row r="5" spans="1:5" x14ac:dyDescent="0.15">
      <c r="A5" s="8">
        <v>4</v>
      </c>
      <c r="B5" s="8" t="s">
        <v>54</v>
      </c>
      <c r="C5" s="8">
        <v>1</v>
      </c>
      <c r="D5" s="8">
        <v>2</v>
      </c>
    </row>
    <row r="6" spans="1:5" x14ac:dyDescent="0.15">
      <c r="A6" s="8">
        <v>5</v>
      </c>
      <c r="B6" s="8" t="s">
        <v>55</v>
      </c>
      <c r="C6" s="8">
        <v>1</v>
      </c>
      <c r="D6" s="8">
        <v>2</v>
      </c>
    </row>
    <row r="7" spans="1:5" x14ac:dyDescent="0.15">
      <c r="A7" s="8">
        <v>6</v>
      </c>
      <c r="B7" s="8" t="s">
        <v>56</v>
      </c>
      <c r="C7" s="8">
        <v>2</v>
      </c>
      <c r="D7" s="8">
        <v>2</v>
      </c>
    </row>
    <row r="8" spans="1:5" x14ac:dyDescent="0.15">
      <c r="A8" s="8">
        <v>7</v>
      </c>
      <c r="B8" s="8" t="s">
        <v>57</v>
      </c>
      <c r="C8" s="8">
        <v>2</v>
      </c>
      <c r="D8" s="8">
        <v>4</v>
      </c>
    </row>
    <row r="9" spans="1:5" x14ac:dyDescent="0.15">
      <c r="A9" s="8">
        <v>8</v>
      </c>
      <c r="B9" s="8" t="s">
        <v>58</v>
      </c>
      <c r="C9" s="8">
        <v>2</v>
      </c>
      <c r="D9" s="8">
        <v>4</v>
      </c>
    </row>
    <row r="10" spans="1:5" x14ac:dyDescent="0.15">
      <c r="A10" s="8">
        <v>9</v>
      </c>
      <c r="B10" s="8" t="s">
        <v>59</v>
      </c>
      <c r="C10" s="8">
        <v>2</v>
      </c>
      <c r="D10" s="8">
        <v>3</v>
      </c>
    </row>
    <row r="11" spans="1:5" x14ac:dyDescent="0.15">
      <c r="A11" s="8">
        <v>10</v>
      </c>
      <c r="B11" s="8" t="s">
        <v>60</v>
      </c>
      <c r="C11" s="8">
        <v>2</v>
      </c>
      <c r="D11" s="8">
        <v>5</v>
      </c>
    </row>
    <row r="12" spans="1:5" x14ac:dyDescent="0.15">
      <c r="A12" s="8">
        <v>11</v>
      </c>
      <c r="B12" s="8" t="s">
        <v>61</v>
      </c>
      <c r="C12" s="8">
        <v>2</v>
      </c>
      <c r="D12" s="8">
        <v>3</v>
      </c>
    </row>
    <row r="13" spans="1:5" x14ac:dyDescent="0.15">
      <c r="A13" s="8">
        <v>12</v>
      </c>
      <c r="B13" s="8" t="s">
        <v>62</v>
      </c>
      <c r="C13" s="8">
        <v>2</v>
      </c>
      <c r="D13" s="8">
        <v>5</v>
      </c>
    </row>
    <row r="14" spans="1:5" x14ac:dyDescent="0.15">
      <c r="A14" s="8">
        <v>13</v>
      </c>
      <c r="B14" s="8" t="s">
        <v>63</v>
      </c>
      <c r="C14" s="8">
        <v>3</v>
      </c>
      <c r="D14" s="8">
        <v>10</v>
      </c>
    </row>
    <row r="15" spans="1:5" x14ac:dyDescent="0.15">
      <c r="A15" s="8">
        <v>14</v>
      </c>
      <c r="B15" s="8" t="s">
        <v>64</v>
      </c>
      <c r="C15" s="8">
        <v>3</v>
      </c>
      <c r="D15" s="8">
        <v>16</v>
      </c>
    </row>
    <row r="16" spans="1:5" x14ac:dyDescent="0.15">
      <c r="A16" s="8">
        <v>15</v>
      </c>
      <c r="B16" s="8" t="s">
        <v>65</v>
      </c>
      <c r="C16" s="8">
        <v>3</v>
      </c>
      <c r="D16" s="8">
        <v>10</v>
      </c>
    </row>
    <row r="17" spans="1:5" x14ac:dyDescent="0.15">
      <c r="A17" s="8">
        <v>16</v>
      </c>
      <c r="B17" s="8" t="s">
        <v>66</v>
      </c>
      <c r="C17" s="8">
        <v>3</v>
      </c>
      <c r="D17" s="8">
        <v>24</v>
      </c>
    </row>
    <row r="18" spans="1:5" x14ac:dyDescent="0.15">
      <c r="A18" s="8">
        <v>17</v>
      </c>
      <c r="B18" s="8" t="s">
        <v>67</v>
      </c>
      <c r="C18" s="8">
        <v>3</v>
      </c>
      <c r="D18" s="8">
        <v>24</v>
      </c>
    </row>
    <row r="19" spans="1:5" x14ac:dyDescent="0.15">
      <c r="A19" s="8">
        <v>18</v>
      </c>
      <c r="B19" s="8" t="s">
        <v>68</v>
      </c>
      <c r="C19" s="8">
        <v>3</v>
      </c>
      <c r="D19" s="8">
        <v>6</v>
      </c>
    </row>
    <row r="20" spans="1:5" x14ac:dyDescent="0.15">
      <c r="A20" s="8">
        <v>19</v>
      </c>
      <c r="B20" s="8" t="s">
        <v>69</v>
      </c>
      <c r="C20" s="8">
        <v>3</v>
      </c>
      <c r="D20" s="8">
        <v>16</v>
      </c>
    </row>
    <row r="21" spans="1:5" x14ac:dyDescent="0.15">
      <c r="A21" s="8">
        <v>20</v>
      </c>
      <c r="B21" s="8" t="s">
        <v>70</v>
      </c>
      <c r="C21" s="8">
        <v>3</v>
      </c>
      <c r="D21" s="8">
        <v>12</v>
      </c>
    </row>
    <row r="22" spans="1:5" x14ac:dyDescent="0.15">
      <c r="A22" s="8">
        <v>21</v>
      </c>
      <c r="B22" s="8" t="s">
        <v>71</v>
      </c>
      <c r="C22" s="8">
        <v>3</v>
      </c>
      <c r="D22" s="8">
        <v>16</v>
      </c>
    </row>
    <row r="23" spans="1:5" x14ac:dyDescent="0.15">
      <c r="A23" s="8">
        <v>22</v>
      </c>
      <c r="B23" s="8" t="s">
        <v>72</v>
      </c>
      <c r="C23" s="8">
        <v>3</v>
      </c>
      <c r="D23" s="8">
        <v>12</v>
      </c>
    </row>
    <row r="24" spans="1:5" x14ac:dyDescent="0.15">
      <c r="A24" s="8">
        <v>23</v>
      </c>
      <c r="B24" s="8" t="s">
        <v>73</v>
      </c>
      <c r="C24" s="8">
        <v>3</v>
      </c>
      <c r="D24" s="8">
        <v>16</v>
      </c>
    </row>
    <row r="25" spans="1:5" x14ac:dyDescent="0.15">
      <c r="A25" s="8">
        <v>24</v>
      </c>
      <c r="B25" s="8" t="s">
        <v>74</v>
      </c>
      <c r="C25" s="8">
        <v>3</v>
      </c>
      <c r="D25" s="8">
        <v>18</v>
      </c>
    </row>
    <row r="26" spans="1:5" x14ac:dyDescent="0.15">
      <c r="A26" s="8">
        <v>25</v>
      </c>
      <c r="B26" s="8" t="s">
        <v>75</v>
      </c>
      <c r="C26" s="8">
        <v>3</v>
      </c>
      <c r="D26" s="8">
        <v>22</v>
      </c>
    </row>
    <row r="27" spans="1:5" x14ac:dyDescent="0.15">
      <c r="A27" s="8">
        <v>26</v>
      </c>
      <c r="B27" s="8" t="s">
        <v>76</v>
      </c>
      <c r="C27" s="8">
        <v>3</v>
      </c>
      <c r="D27" s="8">
        <v>22</v>
      </c>
    </row>
    <row r="28" spans="1:5" x14ac:dyDescent="0.15">
      <c r="A28" s="8">
        <v>27</v>
      </c>
      <c r="B28" s="8" t="s">
        <v>77</v>
      </c>
      <c r="C28" s="8">
        <v>3</v>
      </c>
      <c r="D28" s="8">
        <v>20</v>
      </c>
    </row>
    <row r="29" spans="1:5" x14ac:dyDescent="0.15">
      <c r="A29" s="8">
        <v>28</v>
      </c>
      <c r="B29" s="8" t="s">
        <v>78</v>
      </c>
      <c r="C29" s="8">
        <v>3</v>
      </c>
      <c r="D29" s="8">
        <v>14</v>
      </c>
    </row>
    <row r="30" spans="1:5" x14ac:dyDescent="0.15">
      <c r="A30" s="8">
        <v>29</v>
      </c>
      <c r="B30" s="8" t="s">
        <v>79</v>
      </c>
      <c r="C30" s="8">
        <v>3</v>
      </c>
      <c r="D30" s="8">
        <v>14</v>
      </c>
    </row>
    <row r="31" spans="1:5" x14ac:dyDescent="0.15">
      <c r="A31" s="8">
        <v>30</v>
      </c>
      <c r="B31" s="8" t="s">
        <v>80</v>
      </c>
      <c r="C31" s="8">
        <v>3</v>
      </c>
      <c r="D31" s="8">
        <v>16</v>
      </c>
    </row>
    <row r="32" spans="1:5" x14ac:dyDescent="0.15">
      <c r="A32" s="8">
        <v>31</v>
      </c>
      <c r="B32" s="8" t="s">
        <v>81</v>
      </c>
      <c r="C32" s="8" t="s">
        <v>82</v>
      </c>
      <c r="D32" s="8">
        <v>36</v>
      </c>
      <c r="E32" s="9" t="s">
        <v>83</v>
      </c>
    </row>
  </sheetData>
  <phoneticPr fontId="6" type="noConversion"/>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126"/>
  <sheetViews>
    <sheetView tabSelected="1" zoomScale="145" zoomScaleNormal="145" workbookViewId="0">
      <selection activeCell="G15" sqref="G15"/>
    </sheetView>
  </sheetViews>
  <sheetFormatPr defaultColWidth="9" defaultRowHeight="14.25" x14ac:dyDescent="0.15"/>
  <cols>
    <col min="1" max="1" width="9" style="8"/>
    <col min="2" max="2" width="14" style="8" customWidth="1"/>
    <col min="3" max="3" width="14.875" style="8" customWidth="1"/>
    <col min="4" max="4" width="6.75" style="8" customWidth="1"/>
    <col min="5" max="5" width="6.625" style="8" customWidth="1"/>
    <col min="6" max="6" width="79.375" style="8" customWidth="1"/>
    <col min="7" max="7" width="9" style="6"/>
    <col min="8" max="12" width="9.875" style="6" customWidth="1"/>
    <col min="13" max="16384" width="9" style="6"/>
  </cols>
  <sheetData>
    <row r="1" spans="1:9" x14ac:dyDescent="0.15">
      <c r="A1" s="7" t="s">
        <v>46</v>
      </c>
      <c r="B1" s="7" t="s">
        <v>84</v>
      </c>
      <c r="C1" s="7" t="s">
        <v>85</v>
      </c>
      <c r="D1" s="24" t="s">
        <v>282</v>
      </c>
      <c r="E1" s="7" t="s">
        <v>86</v>
      </c>
      <c r="F1" s="24" t="s">
        <v>258</v>
      </c>
    </row>
    <row r="2" spans="1:9" x14ac:dyDescent="0.15">
      <c r="A2" s="8">
        <v>1</v>
      </c>
      <c r="B2" s="8" t="s">
        <v>87</v>
      </c>
      <c r="C2" s="9" t="s">
        <v>88</v>
      </c>
      <c r="D2" s="8">
        <v>1</v>
      </c>
      <c r="E2" s="8">
        <v>200</v>
      </c>
      <c r="F2" s="6" t="s">
        <v>365</v>
      </c>
      <c r="I2" s="17"/>
    </row>
    <row r="3" spans="1:9" x14ac:dyDescent="0.15">
      <c r="A3" s="8">
        <v>2</v>
      </c>
      <c r="B3" s="8" t="s">
        <v>89</v>
      </c>
      <c r="C3" s="9" t="s">
        <v>90</v>
      </c>
      <c r="D3" s="8">
        <v>1</v>
      </c>
      <c r="E3" s="8">
        <v>200</v>
      </c>
      <c r="F3" s="6" t="s">
        <v>366</v>
      </c>
    </row>
    <row r="4" spans="1:9" x14ac:dyDescent="0.15">
      <c r="A4" s="8">
        <v>3</v>
      </c>
      <c r="B4" s="18" t="s">
        <v>276</v>
      </c>
      <c r="C4" s="19" t="s">
        <v>277</v>
      </c>
      <c r="D4" s="18">
        <v>1</v>
      </c>
      <c r="E4" s="8">
        <v>200</v>
      </c>
      <c r="F4" s="6" t="s">
        <v>367</v>
      </c>
    </row>
    <row r="5" spans="1:9" x14ac:dyDescent="0.15">
      <c r="A5" s="8">
        <v>4</v>
      </c>
      <c r="B5" s="52" t="s">
        <v>91</v>
      </c>
      <c r="C5" s="9" t="s">
        <v>92</v>
      </c>
      <c r="E5" s="8">
        <v>200</v>
      </c>
      <c r="F5" s="6" t="s">
        <v>368</v>
      </c>
    </row>
    <row r="6" spans="1:9" x14ac:dyDescent="0.15">
      <c r="A6" s="8">
        <v>5</v>
      </c>
      <c r="B6" s="8" t="s">
        <v>93</v>
      </c>
      <c r="C6" s="9" t="s">
        <v>94</v>
      </c>
      <c r="D6" s="8">
        <v>1</v>
      </c>
      <c r="E6" s="8">
        <v>200</v>
      </c>
      <c r="F6" s="6" t="s">
        <v>1019</v>
      </c>
    </row>
    <row r="7" spans="1:9" x14ac:dyDescent="0.15">
      <c r="A7" s="8">
        <v>6</v>
      </c>
      <c r="B7" s="8" t="s">
        <v>95</v>
      </c>
      <c r="C7" s="9" t="s">
        <v>96</v>
      </c>
      <c r="D7" s="8">
        <v>1</v>
      </c>
      <c r="E7" s="8">
        <v>200</v>
      </c>
      <c r="F7" s="6" t="s">
        <v>1020</v>
      </c>
      <c r="I7" s="17"/>
    </row>
    <row r="8" spans="1:9" x14ac:dyDescent="0.15">
      <c r="A8" s="8">
        <v>7</v>
      </c>
      <c r="B8" s="52" t="s">
        <v>713</v>
      </c>
      <c r="C8" s="9" t="s">
        <v>98</v>
      </c>
      <c r="E8" s="8">
        <v>200</v>
      </c>
      <c r="F8" s="6" t="s">
        <v>1021</v>
      </c>
    </row>
    <row r="9" spans="1:9" x14ac:dyDescent="0.15">
      <c r="A9" s="8">
        <v>8</v>
      </c>
      <c r="B9" s="8" t="s">
        <v>99</v>
      </c>
      <c r="C9" s="9" t="s">
        <v>100</v>
      </c>
      <c r="D9" s="8">
        <v>1</v>
      </c>
      <c r="E9" s="8">
        <v>200</v>
      </c>
      <c r="F9" s="6" t="s">
        <v>351</v>
      </c>
    </row>
    <row r="10" spans="1:9" x14ac:dyDescent="0.15">
      <c r="A10" s="8">
        <v>9</v>
      </c>
      <c r="B10" s="18" t="s">
        <v>280</v>
      </c>
      <c r="C10" s="19" t="s">
        <v>279</v>
      </c>
      <c r="D10" s="18">
        <v>1</v>
      </c>
      <c r="E10" s="8">
        <v>200</v>
      </c>
      <c r="F10" s="17" t="s">
        <v>278</v>
      </c>
    </row>
    <row r="11" spans="1:9" x14ac:dyDescent="0.15">
      <c r="A11" s="8">
        <v>10</v>
      </c>
      <c r="B11" s="8" t="s">
        <v>103</v>
      </c>
      <c r="C11" s="9" t="s">
        <v>104</v>
      </c>
      <c r="D11" s="8">
        <v>1</v>
      </c>
      <c r="E11" s="8">
        <v>200</v>
      </c>
      <c r="F11" s="6" t="s">
        <v>352</v>
      </c>
    </row>
    <row r="12" spans="1:9" x14ac:dyDescent="0.15">
      <c r="A12" s="8">
        <v>11</v>
      </c>
      <c r="B12" s="8" t="s">
        <v>345</v>
      </c>
      <c r="C12" s="9" t="s">
        <v>346</v>
      </c>
      <c r="D12" s="8">
        <v>1</v>
      </c>
      <c r="E12" s="8">
        <v>200</v>
      </c>
      <c r="F12" s="6" t="s">
        <v>369</v>
      </c>
    </row>
    <row r="13" spans="1:9" x14ac:dyDescent="0.15">
      <c r="A13" s="8">
        <v>12</v>
      </c>
      <c r="B13" s="52" t="s">
        <v>107</v>
      </c>
      <c r="C13" s="9" t="s">
        <v>347</v>
      </c>
      <c r="E13" s="8">
        <v>200</v>
      </c>
      <c r="F13" s="6" t="s">
        <v>250</v>
      </c>
    </row>
    <row r="14" spans="1:9" x14ac:dyDescent="0.15">
      <c r="A14" s="8">
        <v>13</v>
      </c>
      <c r="B14" s="52" t="s">
        <v>112</v>
      </c>
      <c r="C14" s="9" t="s">
        <v>113</v>
      </c>
      <c r="E14" s="8">
        <v>200</v>
      </c>
      <c r="F14" s="6" t="s">
        <v>353</v>
      </c>
    </row>
    <row r="15" spans="1:9" x14ac:dyDescent="0.15">
      <c r="A15" s="8">
        <v>14</v>
      </c>
      <c r="B15" s="8" t="s">
        <v>105</v>
      </c>
      <c r="C15" s="9" t="s">
        <v>106</v>
      </c>
      <c r="D15" s="8">
        <v>1</v>
      </c>
      <c r="E15" s="8">
        <v>200</v>
      </c>
      <c r="F15" s="6" t="s">
        <v>354</v>
      </c>
    </row>
    <row r="16" spans="1:9" x14ac:dyDescent="0.15">
      <c r="A16" s="8">
        <v>15</v>
      </c>
      <c r="B16" s="8" t="s">
        <v>101</v>
      </c>
      <c r="C16" s="9" t="s">
        <v>102</v>
      </c>
      <c r="D16" s="8">
        <v>1</v>
      </c>
      <c r="E16" s="8">
        <v>200</v>
      </c>
      <c r="F16" s="6" t="s">
        <v>355</v>
      </c>
    </row>
    <row r="17" spans="1:7" x14ac:dyDescent="0.15">
      <c r="A17" s="8">
        <v>16</v>
      </c>
      <c r="B17" s="51" t="s">
        <v>244</v>
      </c>
      <c r="C17" s="19" t="s">
        <v>245</v>
      </c>
      <c r="D17" s="18"/>
      <c r="E17" s="8">
        <v>200</v>
      </c>
      <c r="F17" s="6" t="s">
        <v>364</v>
      </c>
    </row>
    <row r="18" spans="1:7" x14ac:dyDescent="0.15">
      <c r="A18" s="8">
        <v>17</v>
      </c>
      <c r="B18" s="8" t="s">
        <v>114</v>
      </c>
      <c r="C18" s="9" t="s">
        <v>115</v>
      </c>
      <c r="D18" s="8">
        <v>1</v>
      </c>
      <c r="E18" s="8">
        <v>200</v>
      </c>
      <c r="F18" s="6" t="s">
        <v>356</v>
      </c>
    </row>
    <row r="19" spans="1:7" x14ac:dyDescent="0.15">
      <c r="A19" s="8">
        <v>18</v>
      </c>
      <c r="B19" s="18" t="s">
        <v>242</v>
      </c>
      <c r="C19" s="19" t="s">
        <v>243</v>
      </c>
      <c r="D19" s="18">
        <v>1</v>
      </c>
      <c r="E19" s="8">
        <v>200</v>
      </c>
      <c r="F19" s="6" t="s">
        <v>357</v>
      </c>
    </row>
    <row r="20" spans="1:7" x14ac:dyDescent="0.15">
      <c r="A20" s="8">
        <v>19</v>
      </c>
      <c r="B20" s="51" t="s">
        <v>259</v>
      </c>
      <c r="C20" s="19" t="s">
        <v>260</v>
      </c>
      <c r="D20" s="18"/>
      <c r="E20" s="8">
        <v>200</v>
      </c>
      <c r="F20" s="6" t="s">
        <v>358</v>
      </c>
    </row>
    <row r="21" spans="1:7" x14ac:dyDescent="0.15">
      <c r="A21" s="8">
        <v>20</v>
      </c>
      <c r="B21" s="8" t="s">
        <v>116</v>
      </c>
      <c r="C21" s="9" t="s">
        <v>117</v>
      </c>
      <c r="D21" s="8">
        <v>1</v>
      </c>
      <c r="E21" s="8">
        <v>200</v>
      </c>
      <c r="F21" s="6" t="s">
        <v>370</v>
      </c>
      <c r="G21" s="17"/>
    </row>
    <row r="22" spans="1:7" x14ac:dyDescent="0.15">
      <c r="A22" s="8">
        <v>21</v>
      </c>
      <c r="B22" s="8" t="s">
        <v>108</v>
      </c>
      <c r="C22" s="9" t="s">
        <v>109</v>
      </c>
      <c r="D22" s="8">
        <v>1</v>
      </c>
      <c r="E22" s="8">
        <v>200</v>
      </c>
      <c r="F22" s="6" t="s">
        <v>993</v>
      </c>
    </row>
    <row r="23" spans="1:7" x14ac:dyDescent="0.15">
      <c r="A23" s="8">
        <v>22</v>
      </c>
      <c r="B23" s="51" t="s">
        <v>283</v>
      </c>
      <c r="C23" s="9" t="s">
        <v>111</v>
      </c>
      <c r="E23" s="8">
        <v>200</v>
      </c>
      <c r="F23" s="6" t="s">
        <v>251</v>
      </c>
    </row>
    <row r="24" spans="1:7" x14ac:dyDescent="0.15">
      <c r="A24" s="8">
        <v>23</v>
      </c>
      <c r="B24" s="18" t="s">
        <v>327</v>
      </c>
      <c r="C24" s="19" t="s">
        <v>328</v>
      </c>
      <c r="D24" s="18">
        <v>1</v>
      </c>
      <c r="E24" s="8">
        <v>200</v>
      </c>
      <c r="F24" s="6" t="s">
        <v>360</v>
      </c>
    </row>
    <row r="25" spans="1:7" x14ac:dyDescent="0.15">
      <c r="A25" s="8">
        <v>24</v>
      </c>
      <c r="B25" s="51" t="s">
        <v>234</v>
      </c>
      <c r="C25" s="26" t="s">
        <v>110</v>
      </c>
      <c r="E25" s="8">
        <v>200</v>
      </c>
      <c r="F25" s="6" t="s">
        <v>361</v>
      </c>
    </row>
    <row r="26" spans="1:7" s="2" customFormat="1" ht="15.75" x14ac:dyDescent="0.15">
      <c r="A26" s="10">
        <v>1</v>
      </c>
      <c r="B26" s="1" t="s">
        <v>118</v>
      </c>
      <c r="C26" s="9" t="s">
        <v>119</v>
      </c>
      <c r="D26" s="8">
        <v>1</v>
      </c>
      <c r="E26" s="8">
        <v>300</v>
      </c>
      <c r="F26" s="2" t="s">
        <v>1018</v>
      </c>
    </row>
    <row r="27" spans="1:7" ht="15.75" x14ac:dyDescent="0.15">
      <c r="A27" s="10">
        <v>2</v>
      </c>
      <c r="B27" s="53" t="s">
        <v>904</v>
      </c>
      <c r="C27" s="9" t="s">
        <v>908</v>
      </c>
      <c r="D27" s="8">
        <v>1</v>
      </c>
      <c r="E27" s="8">
        <v>300</v>
      </c>
      <c r="F27" s="2" t="s">
        <v>909</v>
      </c>
    </row>
    <row r="28" spans="1:7" x14ac:dyDescent="0.15">
      <c r="A28" s="10">
        <v>3</v>
      </c>
      <c r="B28" s="8" t="s">
        <v>122</v>
      </c>
      <c r="C28" s="9" t="s">
        <v>123</v>
      </c>
      <c r="D28" s="8">
        <v>1</v>
      </c>
      <c r="E28" s="8">
        <v>300</v>
      </c>
      <c r="F28" s="6" t="s">
        <v>711</v>
      </c>
    </row>
    <row r="29" spans="1:7" x14ac:dyDescent="0.15">
      <c r="A29" s="10">
        <v>4</v>
      </c>
      <c r="B29" s="52" t="s">
        <v>124</v>
      </c>
      <c r="C29" s="9" t="s">
        <v>125</v>
      </c>
      <c r="E29" s="8">
        <v>300</v>
      </c>
      <c r="F29" s="6" t="s">
        <v>362</v>
      </c>
    </row>
    <row r="30" spans="1:7" x14ac:dyDescent="0.15">
      <c r="A30" s="10">
        <v>5</v>
      </c>
      <c r="B30" s="51" t="s">
        <v>205</v>
      </c>
      <c r="C30" s="9" t="s">
        <v>126</v>
      </c>
      <c r="E30" s="8">
        <v>300</v>
      </c>
      <c r="F30" s="6" t="s">
        <v>363</v>
      </c>
    </row>
    <row r="31" spans="1:7" x14ac:dyDescent="0.15">
      <c r="A31" s="10">
        <v>6</v>
      </c>
      <c r="B31" s="52" t="s">
        <v>127</v>
      </c>
      <c r="C31" s="9" t="s">
        <v>128</v>
      </c>
      <c r="E31" s="8">
        <v>300</v>
      </c>
      <c r="F31" s="17" t="s">
        <v>254</v>
      </c>
    </row>
    <row r="32" spans="1:7" x14ac:dyDescent="0.15">
      <c r="A32" s="10">
        <v>7</v>
      </c>
      <c r="B32" s="18" t="s">
        <v>206</v>
      </c>
      <c r="C32" s="9" t="s">
        <v>129</v>
      </c>
      <c r="D32" s="8">
        <v>1</v>
      </c>
      <c r="E32" s="8">
        <v>300</v>
      </c>
      <c r="F32" s="6" t="s">
        <v>375</v>
      </c>
    </row>
    <row r="33" spans="1:6" x14ac:dyDescent="0.15">
      <c r="A33" s="10">
        <v>8</v>
      </c>
      <c r="B33" s="52" t="s">
        <v>130</v>
      </c>
      <c r="C33" s="9" t="s">
        <v>131</v>
      </c>
      <c r="E33" s="8">
        <v>300</v>
      </c>
      <c r="F33" s="6" t="s">
        <v>376</v>
      </c>
    </row>
    <row r="34" spans="1:6" x14ac:dyDescent="0.15">
      <c r="A34" s="10">
        <v>9</v>
      </c>
      <c r="B34" s="18" t="s">
        <v>236</v>
      </c>
      <c r="C34" s="19" t="s">
        <v>235</v>
      </c>
      <c r="D34" s="18">
        <v>1</v>
      </c>
      <c r="E34" s="8">
        <v>300</v>
      </c>
      <c r="F34" s="6" t="s">
        <v>1004</v>
      </c>
    </row>
    <row r="35" spans="1:6" x14ac:dyDescent="0.15">
      <c r="A35" s="10">
        <v>10</v>
      </c>
      <c r="B35" s="18" t="s">
        <v>261</v>
      </c>
      <c r="C35" s="19" t="s">
        <v>264</v>
      </c>
      <c r="D35" s="18">
        <v>1</v>
      </c>
      <c r="E35" s="8">
        <v>300</v>
      </c>
      <c r="F35" s="9" t="s">
        <v>377</v>
      </c>
    </row>
    <row r="36" spans="1:6" x14ac:dyDescent="0.15">
      <c r="A36" s="10">
        <v>11</v>
      </c>
      <c r="B36" s="18" t="s">
        <v>262</v>
      </c>
      <c r="C36" s="19" t="s">
        <v>265</v>
      </c>
      <c r="D36" s="18">
        <v>1</v>
      </c>
      <c r="E36" s="8">
        <v>300</v>
      </c>
      <c r="F36" s="9" t="s">
        <v>378</v>
      </c>
    </row>
    <row r="37" spans="1:6" x14ac:dyDescent="0.15">
      <c r="A37" s="10">
        <v>12</v>
      </c>
      <c r="B37" s="18" t="s">
        <v>263</v>
      </c>
      <c r="C37" s="19" t="s">
        <v>266</v>
      </c>
      <c r="D37" s="18">
        <v>1</v>
      </c>
      <c r="E37" s="8">
        <v>300</v>
      </c>
      <c r="F37" s="9" t="s">
        <v>379</v>
      </c>
    </row>
    <row r="38" spans="1:6" x14ac:dyDescent="0.15">
      <c r="A38" s="10">
        <v>13</v>
      </c>
      <c r="B38" s="52" t="s">
        <v>132</v>
      </c>
      <c r="C38" s="9" t="s">
        <v>133</v>
      </c>
      <c r="E38" s="8">
        <v>300</v>
      </c>
      <c r="F38" s="6" t="s">
        <v>653</v>
      </c>
    </row>
    <row r="39" spans="1:6" x14ac:dyDescent="0.15">
      <c r="A39" s="10">
        <v>14</v>
      </c>
      <c r="B39" s="52" t="s">
        <v>343</v>
      </c>
      <c r="C39" s="9" t="s">
        <v>344</v>
      </c>
      <c r="E39" s="8">
        <v>300</v>
      </c>
      <c r="F39" s="6" t="s">
        <v>381</v>
      </c>
    </row>
    <row r="40" spans="1:6" x14ac:dyDescent="0.15">
      <c r="A40" s="10">
        <v>15</v>
      </c>
      <c r="B40" s="51" t="s">
        <v>267</v>
      </c>
      <c r="C40" s="27" t="s">
        <v>268</v>
      </c>
      <c r="D40" s="18"/>
      <c r="E40" s="8">
        <v>8000</v>
      </c>
      <c r="F40" s="6" t="s">
        <v>380</v>
      </c>
    </row>
    <row r="41" spans="1:6" x14ac:dyDescent="0.15">
      <c r="A41" s="10">
        <v>16</v>
      </c>
      <c r="B41" s="52" t="s">
        <v>134</v>
      </c>
      <c r="C41" s="26" t="s">
        <v>135</v>
      </c>
      <c r="E41" s="8">
        <v>12000</v>
      </c>
      <c r="F41" s="6" t="s">
        <v>382</v>
      </c>
    </row>
    <row r="42" spans="1:6" x14ac:dyDescent="0.15">
      <c r="A42" s="6"/>
      <c r="B42" s="6"/>
      <c r="C42" s="6"/>
      <c r="E42" s="6"/>
      <c r="F42" s="6"/>
    </row>
    <row r="43" spans="1:6" x14ac:dyDescent="0.15">
      <c r="A43" s="6"/>
      <c r="B43" s="6"/>
      <c r="C43" s="6"/>
      <c r="E43" s="6"/>
      <c r="F43" s="6"/>
    </row>
    <row r="44" spans="1:6" x14ac:dyDescent="0.15">
      <c r="A44" s="6"/>
      <c r="B44" s="6"/>
      <c r="C44" s="6"/>
      <c r="E44" s="6"/>
      <c r="F44" s="6"/>
    </row>
    <row r="45" spans="1:6" x14ac:dyDescent="0.15">
      <c r="A45" s="6"/>
      <c r="B45" s="6"/>
      <c r="C45" s="6"/>
      <c r="E45" s="6"/>
      <c r="F45" s="6"/>
    </row>
    <row r="46" spans="1:6" x14ac:dyDescent="0.15">
      <c r="A46" s="6"/>
      <c r="B46" s="6"/>
      <c r="C46" s="6"/>
      <c r="E46" s="6"/>
      <c r="F46" s="6"/>
    </row>
    <row r="47" spans="1:6" x14ac:dyDescent="0.15">
      <c r="A47" s="6"/>
      <c r="B47" s="6"/>
      <c r="C47" s="6"/>
      <c r="E47" s="6"/>
      <c r="F47" s="6"/>
    </row>
    <row r="48" spans="1:6" x14ac:dyDescent="0.15">
      <c r="A48" s="6"/>
      <c r="B48" s="6"/>
      <c r="C48" s="6"/>
      <c r="E48" s="6"/>
      <c r="F48" s="6"/>
    </row>
    <row r="49" spans="4:4" s="6" customFormat="1" x14ac:dyDescent="0.15">
      <c r="D49" s="8"/>
    </row>
    <row r="50" spans="4:4" s="6" customFormat="1" x14ac:dyDescent="0.15">
      <c r="D50" s="8"/>
    </row>
    <row r="51" spans="4:4" s="6" customFormat="1" x14ac:dyDescent="0.15">
      <c r="D51" s="8"/>
    </row>
    <row r="52" spans="4:4" s="6" customFormat="1" x14ac:dyDescent="0.15">
      <c r="D52" s="8"/>
    </row>
    <row r="53" spans="4:4" s="6" customFormat="1" x14ac:dyDescent="0.15">
      <c r="D53" s="8"/>
    </row>
    <row r="54" spans="4:4" s="6" customFormat="1" x14ac:dyDescent="0.15">
      <c r="D54" s="8"/>
    </row>
    <row r="55" spans="4:4" s="6" customFormat="1" x14ac:dyDescent="0.15">
      <c r="D55" s="8"/>
    </row>
    <row r="56" spans="4:4" s="6" customFormat="1" x14ac:dyDescent="0.15">
      <c r="D56" s="8"/>
    </row>
    <row r="57" spans="4:4" s="6" customFormat="1" x14ac:dyDescent="0.15">
      <c r="D57" s="8"/>
    </row>
    <row r="58" spans="4:4" s="6" customFormat="1" x14ac:dyDescent="0.15">
      <c r="D58" s="8"/>
    </row>
    <row r="61" spans="4:4" s="6" customFormat="1" x14ac:dyDescent="0.15">
      <c r="D61" s="8"/>
    </row>
    <row r="62" spans="4:4" s="6" customFormat="1" x14ac:dyDescent="0.15">
      <c r="D62" s="8"/>
    </row>
    <row r="63" spans="4:4" s="6" customFormat="1" x14ac:dyDescent="0.15">
      <c r="D63" s="8"/>
    </row>
    <row r="64" spans="4:4" s="6" customFormat="1" x14ac:dyDescent="0.15">
      <c r="D64" s="8"/>
    </row>
    <row r="65" spans="4:4" s="6" customFormat="1" x14ac:dyDescent="0.15">
      <c r="D65" s="8"/>
    </row>
    <row r="66" spans="4:4" s="6" customFormat="1" x14ac:dyDescent="0.15">
      <c r="D66" s="8"/>
    </row>
    <row r="67" spans="4:4" s="6" customFormat="1" x14ac:dyDescent="0.15">
      <c r="D67" s="8"/>
    </row>
    <row r="68" spans="4:4" s="6" customFormat="1" x14ac:dyDescent="0.15">
      <c r="D68" s="8"/>
    </row>
    <row r="69" spans="4:4" s="6" customFormat="1" x14ac:dyDescent="0.15">
      <c r="D69" s="8"/>
    </row>
    <row r="70" spans="4:4" s="6" customFormat="1" x14ac:dyDescent="0.15">
      <c r="D70" s="8"/>
    </row>
    <row r="71" spans="4:4" s="6" customFormat="1" x14ac:dyDescent="0.15">
      <c r="D71" s="8"/>
    </row>
    <row r="72" spans="4:4" s="6" customFormat="1" x14ac:dyDescent="0.15">
      <c r="D72" s="8"/>
    </row>
    <row r="73" spans="4:4" s="6" customFormat="1" x14ac:dyDescent="0.15">
      <c r="D73" s="8"/>
    </row>
    <row r="74" spans="4:4" s="6" customFormat="1" x14ac:dyDescent="0.15">
      <c r="D74" s="8"/>
    </row>
    <row r="75" spans="4:4" s="6" customFormat="1" x14ac:dyDescent="0.15">
      <c r="D75" s="8"/>
    </row>
    <row r="76" spans="4:4" s="6" customFormat="1" x14ac:dyDescent="0.15">
      <c r="D76" s="8"/>
    </row>
    <row r="77" spans="4:4" s="6" customFormat="1" x14ac:dyDescent="0.15">
      <c r="D77" s="8"/>
    </row>
    <row r="78" spans="4:4" s="6" customFormat="1" x14ac:dyDescent="0.15">
      <c r="D78" s="8"/>
    </row>
    <row r="79" spans="4:4" s="6" customFormat="1" x14ac:dyDescent="0.15">
      <c r="D79" s="8"/>
    </row>
    <row r="80" spans="4:4" s="6" customFormat="1" x14ac:dyDescent="0.15">
      <c r="D80" s="8"/>
    </row>
    <row r="81" spans="4:4" s="6" customFormat="1" x14ac:dyDescent="0.15">
      <c r="D81" s="8"/>
    </row>
    <row r="82" spans="4:4" s="6" customFormat="1" x14ac:dyDescent="0.15">
      <c r="D82" s="8"/>
    </row>
    <row r="83" spans="4:4" s="6" customFormat="1" x14ac:dyDescent="0.15">
      <c r="D83" s="8"/>
    </row>
    <row r="84" spans="4:4" s="6" customFormat="1" x14ac:dyDescent="0.15">
      <c r="D84" s="8"/>
    </row>
    <row r="85" spans="4:4" s="6" customFormat="1" x14ac:dyDescent="0.15">
      <c r="D85" s="8"/>
    </row>
    <row r="86" spans="4:4" s="6" customFormat="1" x14ac:dyDescent="0.15">
      <c r="D86" s="8"/>
    </row>
    <row r="87" spans="4:4" s="6" customFormat="1" x14ac:dyDescent="0.15">
      <c r="D87" s="8"/>
    </row>
    <row r="88" spans="4:4" s="6" customFormat="1" x14ac:dyDescent="0.15">
      <c r="D88" s="8"/>
    </row>
    <row r="89" spans="4:4" s="6" customFormat="1" x14ac:dyDescent="0.15">
      <c r="D89" s="8"/>
    </row>
    <row r="90" spans="4:4" s="6" customFormat="1" x14ac:dyDescent="0.15">
      <c r="D90" s="8"/>
    </row>
    <row r="91" spans="4:4" s="6" customFormat="1" x14ac:dyDescent="0.15">
      <c r="D91" s="8"/>
    </row>
    <row r="92" spans="4:4" s="6" customFormat="1" x14ac:dyDescent="0.15">
      <c r="D92" s="8"/>
    </row>
    <row r="94" spans="4:4" s="6" customFormat="1" x14ac:dyDescent="0.15">
      <c r="D94" s="8"/>
    </row>
    <row r="95" spans="4:4" s="6" customFormat="1" x14ac:dyDescent="0.15">
      <c r="D95" s="8"/>
    </row>
    <row r="96" spans="4:4" s="6" customFormat="1" x14ac:dyDescent="0.15">
      <c r="D96" s="8"/>
    </row>
    <row r="97" spans="4:4" s="6" customFormat="1" x14ac:dyDescent="0.15">
      <c r="D97" s="8"/>
    </row>
    <row r="98" spans="4:4" s="6" customFormat="1" x14ac:dyDescent="0.15">
      <c r="D98" s="8"/>
    </row>
    <row r="99" spans="4:4" s="6" customFormat="1" x14ac:dyDescent="0.15">
      <c r="D99" s="8"/>
    </row>
    <row r="100" spans="4:4" s="6" customFormat="1" x14ac:dyDescent="0.15">
      <c r="D100" s="8"/>
    </row>
    <row r="101" spans="4:4" s="6" customFormat="1" x14ac:dyDescent="0.15">
      <c r="D101" s="8"/>
    </row>
    <row r="102" spans="4:4" s="6" customFormat="1" x14ac:dyDescent="0.15">
      <c r="D102" s="8"/>
    </row>
    <row r="103" spans="4:4" s="6" customFormat="1" x14ac:dyDescent="0.15">
      <c r="D103" s="8"/>
    </row>
    <row r="104" spans="4:4" s="6" customFormat="1" x14ac:dyDescent="0.15">
      <c r="D104" s="8"/>
    </row>
    <row r="105" spans="4:4" s="6" customFormat="1" x14ac:dyDescent="0.15">
      <c r="D105" s="8"/>
    </row>
    <row r="106" spans="4:4" s="6" customFormat="1" x14ac:dyDescent="0.15">
      <c r="D106" s="8"/>
    </row>
    <row r="107" spans="4:4" s="6" customFormat="1" x14ac:dyDescent="0.15">
      <c r="D107" s="8"/>
    </row>
    <row r="108" spans="4:4" s="6" customFormat="1" x14ac:dyDescent="0.15">
      <c r="D108" s="8"/>
    </row>
    <row r="109" spans="4:4" s="6" customFormat="1" x14ac:dyDescent="0.15">
      <c r="D109" s="8"/>
    </row>
    <row r="110" spans="4:4" s="6" customFormat="1" x14ac:dyDescent="0.15">
      <c r="D110" s="8"/>
    </row>
    <row r="111" spans="4:4" s="6" customFormat="1" x14ac:dyDescent="0.15">
      <c r="D111" s="8"/>
    </row>
    <row r="112" spans="4:4" s="6" customFormat="1" x14ac:dyDescent="0.15">
      <c r="D112" s="8"/>
    </row>
    <row r="113" spans="4:4" s="6" customFormat="1" x14ac:dyDescent="0.15">
      <c r="D113" s="8"/>
    </row>
    <row r="114" spans="4:4" s="6" customFormat="1" x14ac:dyDescent="0.15">
      <c r="D114" s="8"/>
    </row>
    <row r="115" spans="4:4" s="6" customFormat="1" x14ac:dyDescent="0.15">
      <c r="D115" s="8"/>
    </row>
    <row r="116" spans="4:4" s="6" customFormat="1" x14ac:dyDescent="0.15">
      <c r="D116" s="8"/>
    </row>
    <row r="117" spans="4:4" s="6" customFormat="1" x14ac:dyDescent="0.15">
      <c r="D117" s="8"/>
    </row>
    <row r="118" spans="4:4" s="6" customFormat="1" x14ac:dyDescent="0.15">
      <c r="D118" s="8"/>
    </row>
    <row r="119" spans="4:4" s="6" customFormat="1" x14ac:dyDescent="0.15">
      <c r="D119" s="8"/>
    </row>
    <row r="120" spans="4:4" s="6" customFormat="1" x14ac:dyDescent="0.15">
      <c r="D120" s="8"/>
    </row>
    <row r="121" spans="4:4" s="6" customFormat="1" x14ac:dyDescent="0.15">
      <c r="D121" s="8"/>
    </row>
    <row r="122" spans="4:4" s="6" customFormat="1" x14ac:dyDescent="0.15">
      <c r="D122" s="8"/>
    </row>
    <row r="123" spans="4:4" s="6" customFormat="1" x14ac:dyDescent="0.15">
      <c r="D123" s="8"/>
    </row>
    <row r="124" spans="4:4" s="6" customFormat="1" x14ac:dyDescent="0.15">
      <c r="D124" s="8"/>
    </row>
    <row r="125" spans="4:4" s="6" customFormat="1" x14ac:dyDescent="0.15">
      <c r="D125" s="8"/>
    </row>
    <row r="126" spans="4:4" s="6" customFormat="1" x14ac:dyDescent="0.15">
      <c r="D126" s="8"/>
    </row>
  </sheetData>
  <phoneticPr fontId="5"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172"/>
  <sheetViews>
    <sheetView zoomScale="145" zoomScaleNormal="145" workbookViewId="0">
      <selection activeCell="H30" sqref="H30"/>
    </sheetView>
  </sheetViews>
  <sheetFormatPr defaultColWidth="9" defaultRowHeight="14.25" x14ac:dyDescent="0.15"/>
  <cols>
    <col min="1" max="1" width="6.75" style="8" customWidth="1"/>
    <col min="2" max="2" width="9" style="6"/>
    <col min="3" max="3" width="14.25" style="6" customWidth="1"/>
    <col min="4" max="5" width="19.25" style="8" customWidth="1"/>
    <col min="6" max="6" width="10.125" style="6" customWidth="1"/>
    <col min="7" max="7" width="5.625" style="6" bestFit="1" customWidth="1"/>
    <col min="8" max="8" width="82.75" style="6" customWidth="1"/>
    <col min="9" max="14" width="9" style="6"/>
    <col min="15" max="15" width="34.5" style="6" bestFit="1" customWidth="1"/>
    <col min="16" max="16384" width="9" style="6"/>
  </cols>
  <sheetData>
    <row r="1" spans="1:15" x14ac:dyDescent="0.15">
      <c r="B1" s="7" t="s">
        <v>46</v>
      </c>
      <c r="C1" s="7" t="s">
        <v>136</v>
      </c>
      <c r="D1" s="7" t="s">
        <v>137</v>
      </c>
      <c r="E1" s="24" t="s">
        <v>295</v>
      </c>
      <c r="F1" s="7" t="s">
        <v>86</v>
      </c>
      <c r="G1" s="7" t="s">
        <v>348</v>
      </c>
      <c r="H1" s="24" t="s">
        <v>284</v>
      </c>
    </row>
    <row r="2" spans="1:15" x14ac:dyDescent="0.15">
      <c r="A2" s="8">
        <v>1</v>
      </c>
      <c r="B2" s="8">
        <v>1</v>
      </c>
      <c r="C2" s="9" t="s">
        <v>138</v>
      </c>
      <c r="D2" s="8" t="s">
        <v>139</v>
      </c>
      <c r="E2" s="8">
        <v>1</v>
      </c>
      <c r="F2" s="8">
        <v>500</v>
      </c>
      <c r="G2" s="8">
        <v>2</v>
      </c>
      <c r="H2" s="6" t="s">
        <v>397</v>
      </c>
      <c r="N2" s="17"/>
    </row>
    <row r="3" spans="1:15" x14ac:dyDescent="0.15">
      <c r="A3" s="8">
        <v>2</v>
      </c>
      <c r="B3" s="8">
        <v>2</v>
      </c>
      <c r="C3" s="19" t="s">
        <v>208</v>
      </c>
      <c r="D3" s="8" t="s">
        <v>158</v>
      </c>
      <c r="E3" s="8">
        <v>1</v>
      </c>
      <c r="F3" s="8">
        <v>500</v>
      </c>
      <c r="G3" s="8">
        <v>2</v>
      </c>
      <c r="H3" s="6" t="s">
        <v>384</v>
      </c>
    </row>
    <row r="4" spans="1:15" x14ac:dyDescent="0.15">
      <c r="A4" s="8">
        <v>3</v>
      </c>
      <c r="B4" s="8">
        <v>3</v>
      </c>
      <c r="C4" s="9" t="s">
        <v>162</v>
      </c>
      <c r="D4" s="8" t="s">
        <v>163</v>
      </c>
      <c r="E4" s="8">
        <v>1</v>
      </c>
      <c r="F4" s="8">
        <v>500</v>
      </c>
      <c r="G4" s="8">
        <v>2</v>
      </c>
      <c r="H4" s="6" t="s">
        <v>288</v>
      </c>
    </row>
    <row r="5" spans="1:15" x14ac:dyDescent="0.15">
      <c r="A5" s="8">
        <v>4</v>
      </c>
      <c r="B5" s="8">
        <v>4</v>
      </c>
      <c r="C5" s="17" t="s">
        <v>211</v>
      </c>
      <c r="D5" s="28" t="s">
        <v>223</v>
      </c>
      <c r="E5" s="8">
        <v>1</v>
      </c>
      <c r="F5" s="8">
        <v>500</v>
      </c>
      <c r="G5" s="8">
        <v>2</v>
      </c>
      <c r="H5" s="6" t="s">
        <v>287</v>
      </c>
    </row>
    <row r="6" spans="1:15" x14ac:dyDescent="0.15">
      <c r="A6" s="8">
        <v>5</v>
      </c>
      <c r="B6" s="8">
        <v>5</v>
      </c>
      <c r="C6" s="17" t="s">
        <v>299</v>
      </c>
      <c r="D6" s="28" t="s">
        <v>300</v>
      </c>
      <c r="E6" s="8">
        <v>1</v>
      </c>
      <c r="F6" s="8">
        <v>500</v>
      </c>
      <c r="G6" s="8">
        <v>2</v>
      </c>
      <c r="H6" s="6" t="s">
        <v>1006</v>
      </c>
    </row>
    <row r="7" spans="1:15" x14ac:dyDescent="0.15">
      <c r="A7" s="8">
        <v>6</v>
      </c>
      <c r="B7" s="8">
        <v>6</v>
      </c>
      <c r="C7" s="9" t="s">
        <v>150</v>
      </c>
      <c r="D7" s="8" t="s">
        <v>151</v>
      </c>
      <c r="E7" s="8">
        <v>1</v>
      </c>
      <c r="F7" s="8">
        <v>500</v>
      </c>
      <c r="G7" s="8">
        <v>3</v>
      </c>
      <c r="H7" s="6" t="s">
        <v>385</v>
      </c>
    </row>
    <row r="8" spans="1:15" x14ac:dyDescent="0.15">
      <c r="A8" s="8">
        <v>7</v>
      </c>
      <c r="B8" s="8">
        <v>7</v>
      </c>
      <c r="C8" s="9" t="s">
        <v>159</v>
      </c>
      <c r="D8" s="8" t="s">
        <v>160</v>
      </c>
      <c r="E8" s="8">
        <v>1</v>
      </c>
      <c r="F8" s="8">
        <v>500</v>
      </c>
      <c r="G8" s="8">
        <v>3</v>
      </c>
      <c r="H8" s="6" t="s">
        <v>396</v>
      </c>
    </row>
    <row r="9" spans="1:15" x14ac:dyDescent="0.15">
      <c r="A9" s="8">
        <v>8</v>
      </c>
      <c r="B9" s="8">
        <v>8</v>
      </c>
      <c r="C9" s="6" t="s">
        <v>257</v>
      </c>
      <c r="D9" s="8" t="s">
        <v>233</v>
      </c>
      <c r="E9" s="8">
        <v>1</v>
      </c>
      <c r="F9" s="8">
        <v>500</v>
      </c>
      <c r="G9" s="8">
        <v>3</v>
      </c>
      <c r="H9" s="6" t="s">
        <v>1011</v>
      </c>
    </row>
    <row r="10" spans="1:15" x14ac:dyDescent="0.15">
      <c r="A10" s="8">
        <v>9</v>
      </c>
      <c r="B10" s="8">
        <v>9</v>
      </c>
      <c r="C10" s="17" t="s">
        <v>238</v>
      </c>
      <c r="D10" s="28" t="s">
        <v>224</v>
      </c>
      <c r="E10" s="8">
        <v>1</v>
      </c>
      <c r="F10" s="8">
        <v>500</v>
      </c>
      <c r="G10" s="8">
        <v>3</v>
      </c>
      <c r="H10" s="6" t="s">
        <v>286</v>
      </c>
    </row>
    <row r="11" spans="1:15" x14ac:dyDescent="0.15">
      <c r="A11" s="8">
        <v>10</v>
      </c>
      <c r="B11" s="8">
        <v>10</v>
      </c>
      <c r="C11" s="9" t="s">
        <v>153</v>
      </c>
      <c r="D11" s="8" t="s">
        <v>154</v>
      </c>
      <c r="E11" s="8">
        <v>1</v>
      </c>
      <c r="F11" s="8">
        <v>500</v>
      </c>
      <c r="G11" s="8">
        <v>3</v>
      </c>
      <c r="H11" s="6" t="s">
        <v>399</v>
      </c>
    </row>
    <row r="12" spans="1:15" x14ac:dyDescent="0.15">
      <c r="A12" s="8">
        <v>11</v>
      </c>
      <c r="B12" s="8">
        <v>11</v>
      </c>
      <c r="C12" s="9" t="s">
        <v>140</v>
      </c>
      <c r="D12" s="8" t="s">
        <v>141</v>
      </c>
      <c r="E12" s="8">
        <v>1</v>
      </c>
      <c r="F12" s="8">
        <v>500</v>
      </c>
      <c r="G12" s="8"/>
      <c r="H12" s="6" t="s">
        <v>388</v>
      </c>
      <c r="N12" s="17"/>
    </row>
    <row r="13" spans="1:15" x14ac:dyDescent="0.15">
      <c r="A13" s="8">
        <v>13</v>
      </c>
      <c r="B13" s="8">
        <v>12</v>
      </c>
      <c r="C13" s="47" t="s">
        <v>271</v>
      </c>
      <c r="D13" s="28" t="s">
        <v>293</v>
      </c>
      <c r="F13" s="8">
        <v>500</v>
      </c>
      <c r="G13" s="8"/>
      <c r="H13" s="6" t="s">
        <v>389</v>
      </c>
    </row>
    <row r="14" spans="1:15" x14ac:dyDescent="0.15">
      <c r="A14" s="8">
        <v>14</v>
      </c>
      <c r="B14" s="8">
        <v>13</v>
      </c>
      <c r="C14" s="48" t="s">
        <v>148</v>
      </c>
      <c r="D14" s="8" t="s">
        <v>149</v>
      </c>
      <c r="F14" s="8">
        <v>500</v>
      </c>
      <c r="G14" s="8"/>
      <c r="H14" s="6" t="s">
        <v>390</v>
      </c>
    </row>
    <row r="15" spans="1:15" x14ac:dyDescent="0.15">
      <c r="A15" s="8">
        <v>12</v>
      </c>
      <c r="B15" s="8">
        <v>14</v>
      </c>
      <c r="C15" s="49" t="s">
        <v>142</v>
      </c>
      <c r="D15" s="8" t="s">
        <v>143</v>
      </c>
      <c r="F15" s="8">
        <v>500</v>
      </c>
      <c r="G15" s="8"/>
      <c r="H15" s="6" t="s">
        <v>387</v>
      </c>
      <c r="M15" s="17"/>
      <c r="N15" s="17"/>
      <c r="O15" s="17"/>
    </row>
    <row r="16" spans="1:15" x14ac:dyDescent="0.15">
      <c r="A16" s="8">
        <v>15</v>
      </c>
      <c r="B16" s="8">
        <v>15</v>
      </c>
      <c r="C16" s="50" t="s">
        <v>241</v>
      </c>
      <c r="D16" s="8" t="s">
        <v>145</v>
      </c>
      <c r="F16" s="8">
        <v>500</v>
      </c>
      <c r="G16" s="8"/>
      <c r="H16" s="6" t="s">
        <v>290</v>
      </c>
    </row>
    <row r="17" spans="1:14" x14ac:dyDescent="0.15">
      <c r="A17" s="8">
        <v>16</v>
      </c>
      <c r="B17" s="8">
        <v>16</v>
      </c>
      <c r="C17" s="19" t="s">
        <v>209</v>
      </c>
      <c r="D17" s="8" t="s">
        <v>161</v>
      </c>
      <c r="E17" s="8">
        <v>1</v>
      </c>
      <c r="F17" s="8">
        <v>500</v>
      </c>
      <c r="G17" s="8"/>
      <c r="H17" s="6" t="s">
        <v>383</v>
      </c>
    </row>
    <row r="18" spans="1:14" x14ac:dyDescent="0.15">
      <c r="A18" s="8">
        <v>17</v>
      </c>
      <c r="B18" s="8">
        <v>17</v>
      </c>
      <c r="C18" s="19" t="s">
        <v>237</v>
      </c>
      <c r="D18" s="8" t="s">
        <v>144</v>
      </c>
      <c r="E18" s="8">
        <v>1</v>
      </c>
      <c r="F18" s="8">
        <v>500</v>
      </c>
      <c r="G18" s="8"/>
      <c r="H18" s="6" t="s">
        <v>392</v>
      </c>
      <c r="I18" s="17"/>
      <c r="N18" s="17"/>
    </row>
    <row r="19" spans="1:14" x14ac:dyDescent="0.15">
      <c r="A19" s="8">
        <v>18</v>
      </c>
      <c r="B19" s="8">
        <v>18</v>
      </c>
      <c r="C19" s="6" t="s">
        <v>169</v>
      </c>
      <c r="D19" s="28" t="s">
        <v>230</v>
      </c>
      <c r="E19" s="8">
        <v>1</v>
      </c>
      <c r="F19" s="8">
        <v>500</v>
      </c>
      <c r="G19" s="8"/>
      <c r="H19" s="6" t="s">
        <v>391</v>
      </c>
    </row>
    <row r="20" spans="1:14" x14ac:dyDescent="0.15">
      <c r="A20" s="8">
        <v>19</v>
      </c>
      <c r="B20" s="8">
        <v>19</v>
      </c>
      <c r="C20" s="17" t="s">
        <v>273</v>
      </c>
      <c r="D20" s="28" t="s">
        <v>291</v>
      </c>
      <c r="E20" s="8">
        <v>1</v>
      </c>
      <c r="F20" s="8">
        <v>500</v>
      </c>
      <c r="G20" s="8"/>
      <c r="H20" s="6" t="s">
        <v>395</v>
      </c>
    </row>
    <row r="21" spans="1:14" x14ac:dyDescent="0.15">
      <c r="A21" s="8">
        <v>20</v>
      </c>
      <c r="B21" s="8">
        <v>20</v>
      </c>
      <c r="C21" s="17" t="s">
        <v>214</v>
      </c>
      <c r="D21" s="18" t="s">
        <v>225</v>
      </c>
      <c r="E21" s="8">
        <v>1</v>
      </c>
      <c r="F21" s="8">
        <v>500</v>
      </c>
      <c r="G21" s="8"/>
      <c r="H21" s="6" t="s">
        <v>903</v>
      </c>
    </row>
    <row r="22" spans="1:14" x14ac:dyDescent="0.15">
      <c r="A22" s="8">
        <v>21</v>
      </c>
      <c r="B22" s="8">
        <v>21</v>
      </c>
      <c r="C22" s="17" t="s">
        <v>274</v>
      </c>
      <c r="D22" s="28" t="s">
        <v>294</v>
      </c>
      <c r="E22" s="8">
        <v>1</v>
      </c>
      <c r="F22" s="8">
        <v>500</v>
      </c>
      <c r="G22" s="8"/>
      <c r="H22" s="6" t="s">
        <v>714</v>
      </c>
    </row>
    <row r="23" spans="1:14" x14ac:dyDescent="0.15">
      <c r="A23" s="8">
        <v>22</v>
      </c>
      <c r="B23" s="8">
        <v>22</v>
      </c>
      <c r="C23" s="9" t="s">
        <v>146</v>
      </c>
      <c r="D23" s="18" t="s">
        <v>248</v>
      </c>
      <c r="E23" s="8">
        <v>1</v>
      </c>
      <c r="F23" s="8">
        <v>500</v>
      </c>
      <c r="G23" s="8"/>
      <c r="H23" s="6" t="s">
        <v>1013</v>
      </c>
      <c r="I23" s="17"/>
    </row>
    <row r="24" spans="1:14" x14ac:dyDescent="0.15">
      <c r="A24" s="8">
        <v>23</v>
      </c>
      <c r="B24" s="8">
        <v>23</v>
      </c>
      <c r="C24" s="17" t="s">
        <v>215</v>
      </c>
      <c r="D24" s="18" t="s">
        <v>226</v>
      </c>
      <c r="E24" s="8">
        <v>1</v>
      </c>
      <c r="F24" s="8">
        <v>500</v>
      </c>
      <c r="G24" s="8"/>
      <c r="H24" s="6" t="s">
        <v>329</v>
      </c>
    </row>
    <row r="25" spans="1:14" x14ac:dyDescent="0.15">
      <c r="A25" s="8">
        <v>24</v>
      </c>
      <c r="B25" s="8">
        <v>24</v>
      </c>
      <c r="C25" s="17" t="s">
        <v>210</v>
      </c>
      <c r="D25" s="28" t="s">
        <v>221</v>
      </c>
      <c r="E25" s="8">
        <v>1</v>
      </c>
      <c r="F25" s="8">
        <v>500</v>
      </c>
      <c r="G25" s="8"/>
      <c r="H25" s="6" t="s">
        <v>393</v>
      </c>
    </row>
    <row r="26" spans="1:14" x14ac:dyDescent="0.15">
      <c r="A26" s="8">
        <v>25</v>
      </c>
      <c r="B26" s="8">
        <v>25</v>
      </c>
      <c r="C26" s="17" t="s">
        <v>239</v>
      </c>
      <c r="D26" s="28" t="s">
        <v>222</v>
      </c>
      <c r="E26" s="8">
        <v>1</v>
      </c>
      <c r="F26" s="8">
        <v>500</v>
      </c>
      <c r="G26" s="8"/>
      <c r="H26" s="6" t="s">
        <v>394</v>
      </c>
    </row>
    <row r="27" spans="1:14" x14ac:dyDescent="0.15">
      <c r="A27" s="8">
        <v>26</v>
      </c>
      <c r="B27" s="8">
        <v>26</v>
      </c>
      <c r="C27" s="9" t="s">
        <v>905</v>
      </c>
      <c r="D27" s="8" t="s">
        <v>906</v>
      </c>
      <c r="E27" s="8">
        <v>1</v>
      </c>
      <c r="F27" s="8">
        <v>500</v>
      </c>
      <c r="G27" s="8"/>
      <c r="H27" s="6" t="s">
        <v>907</v>
      </c>
    </row>
    <row r="28" spans="1:14" x14ac:dyDescent="0.15">
      <c r="A28" s="8">
        <v>27</v>
      </c>
      <c r="B28" s="8">
        <v>27</v>
      </c>
      <c r="C28" s="47" t="s">
        <v>216</v>
      </c>
      <c r="D28" s="18" t="s">
        <v>227</v>
      </c>
      <c r="F28" s="8">
        <v>500</v>
      </c>
      <c r="G28" s="8"/>
      <c r="H28" s="6" t="s">
        <v>285</v>
      </c>
    </row>
    <row r="29" spans="1:14" x14ac:dyDescent="0.15">
      <c r="A29" s="8">
        <v>28</v>
      </c>
      <c r="B29" s="8">
        <v>28</v>
      </c>
      <c r="C29" s="50" t="s">
        <v>207</v>
      </c>
      <c r="D29" s="8" t="s">
        <v>152</v>
      </c>
      <c r="F29" s="8">
        <v>500</v>
      </c>
      <c r="G29" s="8"/>
      <c r="H29" s="6" t="s">
        <v>289</v>
      </c>
    </row>
    <row r="30" spans="1:14" x14ac:dyDescent="0.15">
      <c r="A30" s="8">
        <v>29</v>
      </c>
      <c r="B30" s="8">
        <v>29</v>
      </c>
      <c r="C30" s="9" t="s">
        <v>156</v>
      </c>
      <c r="D30" s="8" t="s">
        <v>157</v>
      </c>
      <c r="E30" s="8">
        <v>1</v>
      </c>
      <c r="F30" s="8">
        <v>500</v>
      </c>
      <c r="G30" s="8">
        <v>4</v>
      </c>
      <c r="H30" s="6" t="s">
        <v>386</v>
      </c>
    </row>
    <row r="31" spans="1:14" x14ac:dyDescent="0.15">
      <c r="A31" s="8">
        <v>30</v>
      </c>
      <c r="B31" s="8">
        <v>31</v>
      </c>
      <c r="C31" s="9" t="s">
        <v>164</v>
      </c>
      <c r="D31" s="8" t="s">
        <v>165</v>
      </c>
      <c r="E31" s="8">
        <v>1</v>
      </c>
      <c r="F31" s="8">
        <v>500</v>
      </c>
      <c r="G31" s="8">
        <v>4</v>
      </c>
      <c r="H31" s="6" t="s">
        <v>1005</v>
      </c>
    </row>
    <row r="32" spans="1:14" x14ac:dyDescent="0.15">
      <c r="A32" s="8">
        <v>31</v>
      </c>
      <c r="B32" s="8">
        <v>30</v>
      </c>
      <c r="C32" s="48" t="s">
        <v>147</v>
      </c>
      <c r="D32" s="8" t="s">
        <v>220</v>
      </c>
      <c r="F32" s="8">
        <v>500</v>
      </c>
      <c r="G32" s="8">
        <v>4</v>
      </c>
      <c r="H32" s="6" t="s">
        <v>398</v>
      </c>
      <c r="J32" s="6">
        <v>10</v>
      </c>
    </row>
    <row r="33" spans="1:14" x14ac:dyDescent="0.15">
      <c r="A33" s="8">
        <v>33</v>
      </c>
      <c r="B33" s="8">
        <v>32</v>
      </c>
      <c r="C33" s="49" t="s">
        <v>228</v>
      </c>
      <c r="D33" s="8" t="s">
        <v>229</v>
      </c>
      <c r="F33" s="8">
        <v>500</v>
      </c>
      <c r="G33" s="8">
        <v>6</v>
      </c>
      <c r="H33" s="6" t="s">
        <v>1012</v>
      </c>
    </row>
    <row r="34" spans="1:14" x14ac:dyDescent="0.15">
      <c r="A34" s="8">
        <v>34</v>
      </c>
      <c r="B34" s="8">
        <v>33</v>
      </c>
      <c r="C34" s="47" t="s">
        <v>272</v>
      </c>
      <c r="D34" s="28" t="s">
        <v>296</v>
      </c>
      <c r="F34" s="8">
        <v>500</v>
      </c>
      <c r="G34" s="8">
        <v>8</v>
      </c>
      <c r="H34" s="6" t="s">
        <v>712</v>
      </c>
      <c r="I34" s="6">
        <v>1</v>
      </c>
      <c r="J34" s="6">
        <f>2^(I34)</f>
        <v>2</v>
      </c>
      <c r="K34" s="6">
        <f>$J$32*J34</f>
        <v>20</v>
      </c>
      <c r="M34" s="6">
        <f>4^(I34)</f>
        <v>4</v>
      </c>
      <c r="N34" s="6">
        <f>$J$32*M34</f>
        <v>40</v>
      </c>
    </row>
    <row r="35" spans="1:14" x14ac:dyDescent="0.15">
      <c r="A35" s="8">
        <v>32</v>
      </c>
      <c r="B35" s="8">
        <v>34</v>
      </c>
      <c r="C35" s="47" t="s">
        <v>217</v>
      </c>
      <c r="D35" s="28" t="s">
        <v>232</v>
      </c>
      <c r="F35" s="8">
        <v>500</v>
      </c>
      <c r="G35" s="8">
        <v>8</v>
      </c>
      <c r="H35" s="6" t="s">
        <v>1010</v>
      </c>
      <c r="I35" s="6">
        <v>2</v>
      </c>
      <c r="J35" s="6">
        <f t="shared" ref="J35:J40" si="0">2^(I35)</f>
        <v>4</v>
      </c>
      <c r="K35" s="6">
        <f t="shared" ref="K35:K40" si="1">$J$32*J35</f>
        <v>40</v>
      </c>
      <c r="M35" s="6">
        <f t="shared" ref="M35:M40" si="2">4^(I35)</f>
        <v>16</v>
      </c>
      <c r="N35" s="6">
        <f t="shared" ref="N35:N40" si="3">$J$32*M35</f>
        <v>160</v>
      </c>
    </row>
    <row r="36" spans="1:14" x14ac:dyDescent="0.15">
      <c r="A36" s="8">
        <v>35</v>
      </c>
      <c r="B36" s="8">
        <v>35</v>
      </c>
      <c r="C36" s="47" t="s">
        <v>297</v>
      </c>
      <c r="D36" s="28" t="s">
        <v>298</v>
      </c>
      <c r="F36" s="8">
        <v>500</v>
      </c>
      <c r="G36" s="8">
        <v>16</v>
      </c>
      <c r="H36" s="6" t="s">
        <v>403</v>
      </c>
      <c r="I36" s="6">
        <v>3</v>
      </c>
      <c r="J36" s="6">
        <f t="shared" si="0"/>
        <v>8</v>
      </c>
      <c r="K36" s="6">
        <f t="shared" si="1"/>
        <v>80</v>
      </c>
      <c r="M36" s="6">
        <f t="shared" si="2"/>
        <v>64</v>
      </c>
      <c r="N36" s="6">
        <f t="shared" si="3"/>
        <v>640</v>
      </c>
    </row>
    <row r="37" spans="1:14" x14ac:dyDescent="0.15">
      <c r="A37" s="8">
        <v>36</v>
      </c>
      <c r="B37" s="8">
        <v>36</v>
      </c>
      <c r="C37" s="47" t="s">
        <v>275</v>
      </c>
      <c r="D37" s="28" t="s">
        <v>292</v>
      </c>
      <c r="F37" s="8">
        <v>500</v>
      </c>
      <c r="G37" s="8" t="s">
        <v>400</v>
      </c>
      <c r="H37" s="6" t="s">
        <v>281</v>
      </c>
      <c r="I37" s="6">
        <v>4</v>
      </c>
      <c r="J37" s="6">
        <f t="shared" si="0"/>
        <v>16</v>
      </c>
      <c r="K37" s="6">
        <f t="shared" si="1"/>
        <v>160</v>
      </c>
      <c r="M37" s="6">
        <f t="shared" si="2"/>
        <v>256</v>
      </c>
      <c r="N37" s="6">
        <f t="shared" si="3"/>
        <v>2560</v>
      </c>
    </row>
    <row r="38" spans="1:14" x14ac:dyDescent="0.15">
      <c r="A38" s="8">
        <v>37</v>
      </c>
      <c r="B38" s="8">
        <v>37</v>
      </c>
      <c r="C38" s="47" t="s">
        <v>269</v>
      </c>
      <c r="D38" s="28" t="s">
        <v>270</v>
      </c>
      <c r="F38" s="8">
        <v>500</v>
      </c>
      <c r="G38" s="8"/>
      <c r="H38" s="6" t="s">
        <v>401</v>
      </c>
      <c r="I38" s="6">
        <v>5</v>
      </c>
      <c r="J38" s="6">
        <f t="shared" si="0"/>
        <v>32</v>
      </c>
      <c r="K38" s="6">
        <f t="shared" si="1"/>
        <v>320</v>
      </c>
      <c r="M38" s="6">
        <f t="shared" si="2"/>
        <v>1024</v>
      </c>
      <c r="N38" s="6">
        <f t="shared" si="3"/>
        <v>10240</v>
      </c>
    </row>
    <row r="39" spans="1:14" x14ac:dyDescent="0.15">
      <c r="A39" s="8">
        <v>38</v>
      </c>
      <c r="B39" s="8">
        <v>38</v>
      </c>
      <c r="C39" s="47" t="s">
        <v>240</v>
      </c>
      <c r="D39" s="32" t="s">
        <v>231</v>
      </c>
      <c r="F39" s="8">
        <v>12000</v>
      </c>
      <c r="G39" s="8"/>
      <c r="H39" s="17" t="s">
        <v>256</v>
      </c>
      <c r="I39" s="6">
        <v>6</v>
      </c>
      <c r="J39" s="6">
        <f t="shared" si="0"/>
        <v>64</v>
      </c>
      <c r="K39" s="6">
        <f t="shared" si="1"/>
        <v>640</v>
      </c>
      <c r="M39" s="6">
        <f t="shared" si="2"/>
        <v>4096</v>
      </c>
      <c r="N39" s="6">
        <f t="shared" si="3"/>
        <v>40960</v>
      </c>
    </row>
    <row r="40" spans="1:14" x14ac:dyDescent="0.15">
      <c r="A40" s="8">
        <v>39</v>
      </c>
      <c r="B40" s="8">
        <v>39</v>
      </c>
      <c r="C40" s="47" t="s">
        <v>212</v>
      </c>
      <c r="D40" s="33" t="s">
        <v>166</v>
      </c>
      <c r="F40" s="8">
        <v>12000</v>
      </c>
      <c r="G40" s="8"/>
      <c r="H40" s="6" t="s">
        <v>213</v>
      </c>
      <c r="I40" s="6">
        <v>7</v>
      </c>
      <c r="J40" s="6">
        <f t="shared" si="0"/>
        <v>128</v>
      </c>
      <c r="K40" s="6">
        <f t="shared" si="1"/>
        <v>1280</v>
      </c>
      <c r="M40" s="6">
        <f t="shared" si="2"/>
        <v>16384</v>
      </c>
      <c r="N40" s="6">
        <f t="shared" si="3"/>
        <v>163840</v>
      </c>
    </row>
    <row r="41" spans="1:14" x14ac:dyDescent="0.15">
      <c r="A41" s="8">
        <v>40</v>
      </c>
      <c r="B41" s="8">
        <v>40</v>
      </c>
      <c r="C41" s="48" t="s">
        <v>167</v>
      </c>
      <c r="D41" s="25" t="s">
        <v>168</v>
      </c>
      <c r="F41" s="8">
        <v>36000</v>
      </c>
      <c r="G41" s="8">
        <v>36</v>
      </c>
      <c r="H41" s="6" t="s">
        <v>402</v>
      </c>
    </row>
    <row r="42" spans="1:14" x14ac:dyDescent="0.15">
      <c r="C42" s="17"/>
    </row>
    <row r="44" spans="1:14" x14ac:dyDescent="0.15">
      <c r="D44" s="29"/>
      <c r="E44" s="29"/>
      <c r="F44" s="11"/>
      <c r="G44" s="11"/>
      <c r="H44" s="17" t="s">
        <v>249</v>
      </c>
    </row>
    <row r="45" spans="1:14" x14ac:dyDescent="0.15">
      <c r="D45" s="29"/>
      <c r="E45" s="29"/>
      <c r="F45" s="11"/>
      <c r="G45" s="11"/>
    </row>
    <row r="46" spans="1:14" x14ac:dyDescent="0.15">
      <c r="D46" s="29"/>
      <c r="E46" s="29"/>
      <c r="F46" s="11"/>
      <c r="G46" s="11"/>
      <c r="H46" s="11"/>
    </row>
    <row r="47" spans="1:14" x14ac:dyDescent="0.15">
      <c r="D47" s="29"/>
      <c r="E47" s="29"/>
      <c r="F47" s="11"/>
      <c r="G47" s="11"/>
      <c r="H47" s="54"/>
    </row>
    <row r="48" spans="1:14" x14ac:dyDescent="0.15">
      <c r="D48" s="29"/>
      <c r="E48" s="29"/>
      <c r="F48" s="11"/>
      <c r="G48" s="11"/>
      <c r="H48" s="11"/>
    </row>
    <row r="49" spans="4:8" x14ac:dyDescent="0.15">
      <c r="D49" s="29"/>
      <c r="E49" s="29"/>
      <c r="F49" s="11"/>
      <c r="G49" s="11"/>
      <c r="H49" s="11"/>
    </row>
    <row r="50" spans="4:8" x14ac:dyDescent="0.15">
      <c r="D50" s="29"/>
      <c r="E50" s="29"/>
      <c r="F50" s="11"/>
      <c r="G50" s="11"/>
      <c r="H50" s="11"/>
    </row>
    <row r="51" spans="4:8" x14ac:dyDescent="0.15">
      <c r="D51" s="29"/>
      <c r="E51" s="29"/>
      <c r="F51" s="11"/>
      <c r="G51" s="11"/>
      <c r="H51" s="11"/>
    </row>
    <row r="52" spans="4:8" x14ac:dyDescent="0.15">
      <c r="D52" s="29"/>
      <c r="E52" s="29"/>
      <c r="F52" s="11"/>
      <c r="G52" s="11"/>
      <c r="H52" s="11"/>
    </row>
    <row r="53" spans="4:8" x14ac:dyDescent="0.15">
      <c r="D53" s="29"/>
      <c r="E53" s="29"/>
      <c r="F53" s="11"/>
      <c r="G53" s="11"/>
      <c r="H53" s="11"/>
    </row>
    <row r="54" spans="4:8" x14ac:dyDescent="0.15">
      <c r="D54" s="29"/>
      <c r="E54" s="29"/>
      <c r="F54" s="11"/>
      <c r="G54" s="11"/>
      <c r="H54" s="11"/>
    </row>
    <row r="55" spans="4:8" x14ac:dyDescent="0.15">
      <c r="D55" s="29"/>
      <c r="E55" s="29"/>
      <c r="F55" s="11"/>
      <c r="G55" s="11"/>
      <c r="H55" s="11"/>
    </row>
    <row r="56" spans="4:8" x14ac:dyDescent="0.15">
      <c r="D56" s="29"/>
      <c r="E56" s="29"/>
      <c r="F56" s="11"/>
      <c r="G56" s="11"/>
      <c r="H56" s="11"/>
    </row>
    <row r="57" spans="4:8" x14ac:dyDescent="0.15">
      <c r="D57" s="29"/>
      <c r="E57" s="29"/>
      <c r="F57" s="11"/>
      <c r="G57" s="11"/>
      <c r="H57" s="11"/>
    </row>
    <row r="58" spans="4:8" x14ac:dyDescent="0.15">
      <c r="D58" s="29"/>
      <c r="E58" s="29"/>
      <c r="F58" s="11"/>
      <c r="G58" s="11"/>
      <c r="H58" s="11"/>
    </row>
    <row r="59" spans="4:8" x14ac:dyDescent="0.15">
      <c r="D59" s="29"/>
      <c r="E59" s="29"/>
      <c r="F59" s="11"/>
      <c r="G59" s="11"/>
      <c r="H59" s="11"/>
    </row>
    <row r="60" spans="4:8" x14ac:dyDescent="0.15">
      <c r="D60" s="29"/>
      <c r="E60" s="29"/>
      <c r="F60" s="11"/>
      <c r="G60" s="11"/>
      <c r="H60" s="11"/>
    </row>
    <row r="61" spans="4:8" x14ac:dyDescent="0.15">
      <c r="D61" s="29"/>
      <c r="E61" s="29"/>
      <c r="F61" s="11"/>
      <c r="G61" s="11"/>
      <c r="H61" s="11"/>
    </row>
    <row r="62" spans="4:8" x14ac:dyDescent="0.15">
      <c r="D62" s="29"/>
      <c r="E62" s="29"/>
      <c r="F62" s="11"/>
      <c r="G62" s="11"/>
      <c r="H62" s="11"/>
    </row>
    <row r="63" spans="4:8" x14ac:dyDescent="0.15">
      <c r="D63" s="29"/>
      <c r="E63" s="29"/>
      <c r="F63" s="11"/>
      <c r="G63" s="11"/>
      <c r="H63" s="11"/>
    </row>
    <row r="64" spans="4:8" x14ac:dyDescent="0.15">
      <c r="D64" s="29"/>
      <c r="E64" s="29"/>
      <c r="F64" s="11"/>
      <c r="G64" s="11"/>
      <c r="H64" s="11"/>
    </row>
    <row r="65" spans="4:8" x14ac:dyDescent="0.15">
      <c r="D65" s="29"/>
      <c r="E65" s="29"/>
      <c r="F65" s="11"/>
      <c r="G65" s="11"/>
      <c r="H65" s="11"/>
    </row>
    <row r="66" spans="4:8" x14ac:dyDescent="0.15">
      <c r="D66" s="29"/>
      <c r="E66" s="29"/>
      <c r="F66" s="11"/>
      <c r="G66" s="11"/>
      <c r="H66" s="11"/>
    </row>
    <row r="67" spans="4:8" x14ac:dyDescent="0.15">
      <c r="D67" s="29"/>
      <c r="E67" s="29"/>
      <c r="F67" s="11"/>
      <c r="G67" s="11"/>
      <c r="H67" s="11"/>
    </row>
    <row r="68" spans="4:8" x14ac:dyDescent="0.15">
      <c r="D68" s="29"/>
      <c r="E68" s="29"/>
      <c r="F68" s="11"/>
      <c r="G68" s="11"/>
      <c r="H68" s="11"/>
    </row>
    <row r="69" spans="4:8" x14ac:dyDescent="0.15">
      <c r="D69" s="29"/>
      <c r="E69" s="29"/>
      <c r="F69" s="11"/>
      <c r="G69" s="11"/>
      <c r="H69" s="11"/>
    </row>
    <row r="70" spans="4:8" x14ac:dyDescent="0.15">
      <c r="D70" s="29"/>
      <c r="E70" s="29"/>
      <c r="F70" s="11"/>
      <c r="G70" s="11"/>
      <c r="H70" s="11"/>
    </row>
    <row r="71" spans="4:8" x14ac:dyDescent="0.15">
      <c r="D71" s="29"/>
      <c r="E71" s="29"/>
      <c r="F71" s="11"/>
      <c r="G71" s="11"/>
      <c r="H71" s="11"/>
    </row>
    <row r="72" spans="4:8" x14ac:dyDescent="0.15">
      <c r="D72" s="29"/>
      <c r="E72" s="29"/>
      <c r="F72" s="11"/>
      <c r="G72" s="11"/>
      <c r="H72" s="11"/>
    </row>
    <row r="73" spans="4:8" x14ac:dyDescent="0.15">
      <c r="D73" s="29"/>
      <c r="E73" s="29"/>
      <c r="F73" s="11"/>
      <c r="G73" s="11"/>
      <c r="H73" s="11"/>
    </row>
    <row r="74" spans="4:8" x14ac:dyDescent="0.15">
      <c r="D74" s="29"/>
      <c r="E74" s="29"/>
      <c r="F74" s="11"/>
      <c r="G74" s="11"/>
      <c r="H74" s="11"/>
    </row>
    <row r="75" spans="4:8" x14ac:dyDescent="0.15">
      <c r="D75" s="29"/>
      <c r="E75" s="29"/>
      <c r="F75" s="11"/>
      <c r="G75" s="11"/>
      <c r="H75" s="11"/>
    </row>
    <row r="76" spans="4:8" x14ac:dyDescent="0.15">
      <c r="D76" s="29"/>
      <c r="E76" s="29"/>
      <c r="F76" s="11"/>
      <c r="G76" s="11"/>
      <c r="H76" s="11"/>
    </row>
    <row r="77" spans="4:8" x14ac:dyDescent="0.15">
      <c r="D77" s="29"/>
      <c r="E77" s="29"/>
      <c r="F77" s="11"/>
      <c r="G77" s="11"/>
      <c r="H77" s="11"/>
    </row>
    <row r="78" spans="4:8" x14ac:dyDescent="0.15">
      <c r="D78" s="29"/>
      <c r="E78" s="29"/>
      <c r="F78" s="11"/>
      <c r="G78" s="11"/>
      <c r="H78" s="11"/>
    </row>
    <row r="79" spans="4:8" x14ac:dyDescent="0.15">
      <c r="D79" s="29"/>
      <c r="E79" s="29"/>
      <c r="F79" s="11"/>
      <c r="G79" s="11"/>
      <c r="H79" s="11"/>
    </row>
    <row r="80" spans="4:8" x14ac:dyDescent="0.15">
      <c r="D80" s="29"/>
      <c r="E80" s="29"/>
      <c r="F80" s="11"/>
      <c r="G80" s="11"/>
      <c r="H80" s="11"/>
    </row>
    <row r="81" spans="4:8" x14ac:dyDescent="0.15">
      <c r="D81" s="29"/>
      <c r="E81" s="29"/>
      <c r="F81" s="11"/>
      <c r="G81" s="11"/>
      <c r="H81" s="11"/>
    </row>
    <row r="82" spans="4:8" x14ac:dyDescent="0.15">
      <c r="D82" s="29"/>
      <c r="E82" s="29"/>
      <c r="F82" s="11"/>
      <c r="G82" s="11"/>
      <c r="H82" s="11"/>
    </row>
    <row r="83" spans="4:8" x14ac:dyDescent="0.15">
      <c r="D83" s="29"/>
      <c r="E83" s="29"/>
      <c r="F83" s="11"/>
      <c r="G83" s="11"/>
      <c r="H83" s="11"/>
    </row>
    <row r="84" spans="4:8" x14ac:dyDescent="0.15">
      <c r="D84" s="29"/>
      <c r="E84" s="29"/>
      <c r="F84" s="11"/>
      <c r="G84" s="11"/>
      <c r="H84" s="11"/>
    </row>
    <row r="85" spans="4:8" x14ac:dyDescent="0.15">
      <c r="D85" s="29"/>
      <c r="E85" s="29"/>
      <c r="F85" s="11"/>
      <c r="G85" s="11"/>
      <c r="H85" s="11"/>
    </row>
    <row r="86" spans="4:8" x14ac:dyDescent="0.15">
      <c r="D86" s="29"/>
      <c r="E86" s="29"/>
      <c r="F86" s="11"/>
      <c r="G86" s="11"/>
      <c r="H86" s="11"/>
    </row>
    <row r="87" spans="4:8" x14ac:dyDescent="0.15">
      <c r="D87" s="29"/>
      <c r="E87" s="29"/>
      <c r="F87" s="11"/>
      <c r="G87" s="11"/>
      <c r="H87" s="11"/>
    </row>
    <row r="88" spans="4:8" x14ac:dyDescent="0.15">
      <c r="D88" s="29"/>
      <c r="E88" s="29"/>
      <c r="F88" s="11"/>
      <c r="G88" s="11"/>
      <c r="H88" s="11"/>
    </row>
    <row r="89" spans="4:8" x14ac:dyDescent="0.15">
      <c r="D89" s="29"/>
      <c r="E89" s="29"/>
      <c r="F89" s="11"/>
      <c r="G89" s="11"/>
      <c r="H89" s="11"/>
    </row>
    <row r="90" spans="4:8" x14ac:dyDescent="0.15">
      <c r="D90" s="29"/>
      <c r="E90" s="29"/>
      <c r="F90" s="11"/>
      <c r="G90" s="11"/>
      <c r="H90" s="11"/>
    </row>
    <row r="91" spans="4:8" x14ac:dyDescent="0.15">
      <c r="D91" s="29"/>
      <c r="E91" s="29"/>
      <c r="F91" s="11"/>
      <c r="G91" s="11"/>
      <c r="H91" s="11"/>
    </row>
    <row r="92" spans="4:8" x14ac:dyDescent="0.15">
      <c r="D92" s="29"/>
      <c r="E92" s="29"/>
      <c r="F92" s="11"/>
      <c r="G92" s="11"/>
      <c r="H92" s="11"/>
    </row>
    <row r="93" spans="4:8" x14ac:dyDescent="0.15">
      <c r="D93" s="29"/>
      <c r="E93" s="29"/>
      <c r="F93" s="11"/>
      <c r="G93" s="11"/>
      <c r="H93" s="11"/>
    </row>
    <row r="94" spans="4:8" x14ac:dyDescent="0.15">
      <c r="D94" s="29"/>
      <c r="E94" s="29"/>
      <c r="F94" s="11"/>
      <c r="G94" s="11"/>
      <c r="H94" s="11"/>
    </row>
    <row r="95" spans="4:8" x14ac:dyDescent="0.15">
      <c r="D95" s="29"/>
      <c r="E95" s="29"/>
      <c r="F95" s="11"/>
      <c r="G95" s="11"/>
      <c r="H95" s="11"/>
    </row>
    <row r="96" spans="4:8" x14ac:dyDescent="0.15">
      <c r="D96" s="29"/>
      <c r="E96" s="29"/>
      <c r="F96" s="11"/>
      <c r="G96" s="11"/>
      <c r="H96" s="11"/>
    </row>
    <row r="97" spans="4:8" x14ac:dyDescent="0.15">
      <c r="D97" s="29"/>
      <c r="E97" s="29"/>
      <c r="F97" s="11"/>
      <c r="G97" s="11"/>
      <c r="H97" s="11"/>
    </row>
    <row r="98" spans="4:8" x14ac:dyDescent="0.15">
      <c r="D98" s="29"/>
      <c r="E98" s="29"/>
      <c r="F98" s="11"/>
      <c r="G98" s="11"/>
      <c r="H98" s="11"/>
    </row>
    <row r="99" spans="4:8" x14ac:dyDescent="0.15">
      <c r="D99" s="29"/>
      <c r="E99" s="29"/>
      <c r="F99" s="11"/>
      <c r="G99" s="11"/>
      <c r="H99" s="11"/>
    </row>
    <row r="100" spans="4:8" x14ac:dyDescent="0.15">
      <c r="D100" s="29"/>
      <c r="E100" s="29"/>
      <c r="F100" s="11"/>
      <c r="G100" s="11"/>
      <c r="H100" s="11"/>
    </row>
    <row r="101" spans="4:8" x14ac:dyDescent="0.15">
      <c r="D101" s="29"/>
      <c r="E101" s="29"/>
      <c r="F101" s="11"/>
      <c r="G101" s="11"/>
      <c r="H101" s="11"/>
    </row>
    <row r="102" spans="4:8" x14ac:dyDescent="0.15">
      <c r="D102" s="29"/>
      <c r="E102" s="29"/>
      <c r="F102" s="11"/>
      <c r="G102" s="11"/>
      <c r="H102" s="11"/>
    </row>
    <row r="103" spans="4:8" x14ac:dyDescent="0.15">
      <c r="D103" s="29"/>
      <c r="E103" s="29"/>
      <c r="F103" s="11"/>
      <c r="G103" s="11"/>
      <c r="H103" s="11"/>
    </row>
    <row r="104" spans="4:8" x14ac:dyDescent="0.15">
      <c r="D104" s="29"/>
      <c r="E104" s="29"/>
      <c r="F104" s="11"/>
      <c r="G104" s="11"/>
      <c r="H104" s="11"/>
    </row>
    <row r="105" spans="4:8" x14ac:dyDescent="0.15">
      <c r="D105" s="29"/>
      <c r="E105" s="29"/>
      <c r="F105" s="11"/>
      <c r="G105" s="11"/>
      <c r="H105" s="11"/>
    </row>
    <row r="106" spans="4:8" x14ac:dyDescent="0.15">
      <c r="D106" s="29"/>
      <c r="E106" s="29"/>
      <c r="F106" s="11"/>
      <c r="G106" s="11"/>
      <c r="H106" s="11"/>
    </row>
    <row r="107" spans="4:8" x14ac:dyDescent="0.15">
      <c r="D107" s="29"/>
      <c r="E107" s="29"/>
      <c r="F107" s="11"/>
      <c r="G107" s="11"/>
      <c r="H107" s="11"/>
    </row>
    <row r="108" spans="4:8" x14ac:dyDescent="0.15">
      <c r="D108" s="29"/>
      <c r="E108" s="29"/>
      <c r="F108" s="11"/>
      <c r="G108" s="11"/>
      <c r="H108" s="11"/>
    </row>
    <row r="109" spans="4:8" x14ac:dyDescent="0.15">
      <c r="D109" s="29"/>
      <c r="E109" s="29"/>
      <c r="F109" s="11"/>
      <c r="G109" s="11"/>
      <c r="H109" s="11"/>
    </row>
    <row r="110" spans="4:8" x14ac:dyDescent="0.15">
      <c r="D110" s="29"/>
      <c r="E110" s="29"/>
      <c r="F110" s="11"/>
      <c r="G110" s="11"/>
      <c r="H110" s="11"/>
    </row>
    <row r="111" spans="4:8" x14ac:dyDescent="0.15">
      <c r="D111" s="29"/>
      <c r="E111" s="29"/>
      <c r="F111" s="11"/>
      <c r="G111" s="11"/>
      <c r="H111" s="11"/>
    </row>
    <row r="112" spans="4:8" x14ac:dyDescent="0.15">
      <c r="D112" s="29"/>
      <c r="E112" s="29"/>
      <c r="F112" s="11"/>
      <c r="G112" s="11"/>
      <c r="H112" s="11"/>
    </row>
    <row r="113" spans="4:8" x14ac:dyDescent="0.15">
      <c r="D113" s="29"/>
      <c r="E113" s="29"/>
      <c r="F113" s="11"/>
      <c r="G113" s="11"/>
      <c r="H113" s="11"/>
    </row>
    <row r="114" spans="4:8" x14ac:dyDescent="0.15">
      <c r="D114" s="29"/>
      <c r="E114" s="29"/>
      <c r="F114" s="11"/>
      <c r="G114" s="11"/>
      <c r="H114" s="11"/>
    </row>
    <row r="115" spans="4:8" x14ac:dyDescent="0.15">
      <c r="D115" s="29"/>
      <c r="E115" s="29"/>
      <c r="F115" s="11"/>
      <c r="G115" s="11"/>
      <c r="H115" s="11"/>
    </row>
    <row r="116" spans="4:8" x14ac:dyDescent="0.15">
      <c r="D116" s="29"/>
      <c r="E116" s="29"/>
      <c r="F116" s="11"/>
      <c r="G116" s="11"/>
      <c r="H116" s="11"/>
    </row>
    <row r="117" spans="4:8" x14ac:dyDescent="0.15">
      <c r="D117" s="29"/>
      <c r="E117" s="29"/>
      <c r="F117" s="11"/>
      <c r="G117" s="11"/>
      <c r="H117" s="11"/>
    </row>
    <row r="118" spans="4:8" x14ac:dyDescent="0.15">
      <c r="D118" s="29"/>
      <c r="E118" s="29"/>
      <c r="F118" s="11"/>
      <c r="G118" s="11"/>
      <c r="H118" s="11"/>
    </row>
    <row r="119" spans="4:8" x14ac:dyDescent="0.15">
      <c r="D119" s="29"/>
      <c r="E119" s="29"/>
      <c r="F119" s="11"/>
      <c r="G119" s="11"/>
      <c r="H119" s="11"/>
    </row>
    <row r="120" spans="4:8" x14ac:dyDescent="0.15">
      <c r="D120" s="29"/>
      <c r="E120" s="29"/>
      <c r="F120" s="11"/>
      <c r="G120" s="11"/>
      <c r="H120" s="11"/>
    </row>
    <row r="121" spans="4:8" x14ac:dyDescent="0.15">
      <c r="D121" s="29"/>
      <c r="E121" s="29"/>
      <c r="F121" s="11"/>
      <c r="G121" s="11"/>
      <c r="H121" s="11"/>
    </row>
    <row r="122" spans="4:8" x14ac:dyDescent="0.15">
      <c r="D122" s="29"/>
      <c r="E122" s="29"/>
      <c r="F122" s="11"/>
      <c r="G122" s="11"/>
      <c r="H122" s="11"/>
    </row>
    <row r="123" spans="4:8" x14ac:dyDescent="0.15">
      <c r="D123" s="29"/>
      <c r="E123" s="29"/>
      <c r="F123" s="11"/>
      <c r="G123" s="11"/>
      <c r="H123" s="11"/>
    </row>
    <row r="124" spans="4:8" x14ac:dyDescent="0.15">
      <c r="D124" s="29"/>
      <c r="E124" s="29"/>
      <c r="F124" s="11"/>
      <c r="G124" s="11"/>
      <c r="H124" s="11"/>
    </row>
    <row r="125" spans="4:8" x14ac:dyDescent="0.15">
      <c r="D125" s="29"/>
      <c r="E125" s="29"/>
      <c r="F125" s="11"/>
      <c r="G125" s="11"/>
      <c r="H125" s="11"/>
    </row>
    <row r="126" spans="4:8" x14ac:dyDescent="0.15">
      <c r="D126" s="29"/>
      <c r="E126" s="29"/>
      <c r="F126" s="11"/>
      <c r="G126" s="11"/>
      <c r="H126" s="11"/>
    </row>
    <row r="127" spans="4:8" x14ac:dyDescent="0.15">
      <c r="D127" s="29"/>
      <c r="E127" s="29"/>
      <c r="F127" s="11"/>
      <c r="G127" s="11"/>
      <c r="H127" s="11"/>
    </row>
    <row r="128" spans="4:8" x14ac:dyDescent="0.15">
      <c r="D128" s="29"/>
      <c r="E128" s="29"/>
      <c r="F128" s="11"/>
      <c r="G128" s="11"/>
      <c r="H128" s="11"/>
    </row>
    <row r="129" spans="4:8" x14ac:dyDescent="0.15">
      <c r="D129" s="29"/>
      <c r="E129" s="29"/>
      <c r="F129" s="11"/>
      <c r="G129" s="11"/>
      <c r="H129" s="11"/>
    </row>
    <row r="130" spans="4:8" x14ac:dyDescent="0.15">
      <c r="D130" s="29"/>
      <c r="E130" s="29"/>
      <c r="F130" s="11"/>
      <c r="G130" s="11"/>
      <c r="H130" s="11"/>
    </row>
    <row r="131" spans="4:8" x14ac:dyDescent="0.15">
      <c r="D131" s="29"/>
      <c r="E131" s="29"/>
      <c r="F131" s="11"/>
      <c r="G131" s="11"/>
      <c r="H131" s="11"/>
    </row>
    <row r="132" spans="4:8" x14ac:dyDescent="0.15">
      <c r="D132" s="29"/>
      <c r="E132" s="29"/>
      <c r="F132" s="11"/>
      <c r="G132" s="11"/>
      <c r="H132" s="11"/>
    </row>
    <row r="133" spans="4:8" x14ac:dyDescent="0.15">
      <c r="D133" s="29"/>
      <c r="E133" s="29"/>
      <c r="F133" s="11"/>
      <c r="G133" s="11"/>
      <c r="H133" s="11"/>
    </row>
    <row r="134" spans="4:8" x14ac:dyDescent="0.15">
      <c r="D134" s="29"/>
      <c r="E134" s="29"/>
      <c r="F134" s="11"/>
      <c r="G134" s="11"/>
      <c r="H134" s="11"/>
    </row>
    <row r="135" spans="4:8" x14ac:dyDescent="0.15">
      <c r="D135" s="29"/>
      <c r="E135" s="29"/>
      <c r="F135" s="11"/>
      <c r="G135" s="11"/>
      <c r="H135" s="11"/>
    </row>
    <row r="136" spans="4:8" x14ac:dyDescent="0.15">
      <c r="D136" s="29"/>
      <c r="E136" s="29"/>
      <c r="F136" s="11"/>
      <c r="G136" s="11"/>
      <c r="H136" s="11"/>
    </row>
    <row r="137" spans="4:8" x14ac:dyDescent="0.15">
      <c r="D137" s="29"/>
      <c r="E137" s="29"/>
      <c r="F137" s="11"/>
      <c r="G137" s="11"/>
      <c r="H137" s="11"/>
    </row>
    <row r="138" spans="4:8" x14ac:dyDescent="0.15">
      <c r="D138" s="29"/>
      <c r="E138" s="29"/>
      <c r="F138" s="11"/>
      <c r="G138" s="11"/>
      <c r="H138" s="11"/>
    </row>
    <row r="139" spans="4:8" x14ac:dyDescent="0.15">
      <c r="D139" s="29"/>
      <c r="E139" s="29"/>
      <c r="F139" s="11"/>
      <c r="G139" s="11"/>
      <c r="H139" s="11"/>
    </row>
    <row r="140" spans="4:8" x14ac:dyDescent="0.15">
      <c r="D140" s="29"/>
      <c r="E140" s="29"/>
      <c r="F140" s="11"/>
      <c r="G140" s="11"/>
      <c r="H140" s="11"/>
    </row>
    <row r="141" spans="4:8" x14ac:dyDescent="0.15">
      <c r="D141" s="29"/>
      <c r="E141" s="29"/>
      <c r="F141" s="11"/>
      <c r="G141" s="11"/>
      <c r="H141" s="11"/>
    </row>
    <row r="142" spans="4:8" x14ac:dyDescent="0.15">
      <c r="D142" s="29"/>
      <c r="E142" s="29"/>
      <c r="F142" s="11"/>
      <c r="G142" s="11"/>
      <c r="H142" s="11"/>
    </row>
    <row r="143" spans="4:8" x14ac:dyDescent="0.15">
      <c r="D143" s="29"/>
      <c r="E143" s="29"/>
      <c r="F143" s="11"/>
      <c r="G143" s="11"/>
      <c r="H143" s="11"/>
    </row>
    <row r="144" spans="4:8" x14ac:dyDescent="0.15">
      <c r="D144" s="29"/>
      <c r="E144" s="29"/>
      <c r="F144" s="11"/>
      <c r="G144" s="11"/>
      <c r="H144" s="11"/>
    </row>
    <row r="145" spans="4:8" x14ac:dyDescent="0.15">
      <c r="D145" s="29"/>
      <c r="E145" s="29"/>
      <c r="F145" s="11"/>
      <c r="G145" s="11"/>
      <c r="H145" s="11"/>
    </row>
    <row r="146" spans="4:8" x14ac:dyDescent="0.15">
      <c r="D146" s="29"/>
      <c r="E146" s="29"/>
      <c r="F146" s="11"/>
      <c r="G146" s="11"/>
      <c r="H146" s="11"/>
    </row>
    <row r="147" spans="4:8" x14ac:dyDescent="0.15">
      <c r="D147" s="29"/>
      <c r="E147" s="29"/>
      <c r="F147" s="11"/>
      <c r="G147" s="11"/>
      <c r="H147" s="11"/>
    </row>
    <row r="148" spans="4:8" x14ac:dyDescent="0.15">
      <c r="D148" s="29"/>
      <c r="E148" s="29"/>
      <c r="F148" s="11"/>
      <c r="G148" s="11"/>
      <c r="H148" s="11"/>
    </row>
    <row r="149" spans="4:8" x14ac:dyDescent="0.15">
      <c r="D149" s="29"/>
      <c r="E149" s="29"/>
      <c r="F149" s="11"/>
      <c r="G149" s="11"/>
      <c r="H149" s="11"/>
    </row>
    <row r="150" spans="4:8" x14ac:dyDescent="0.15">
      <c r="D150" s="29"/>
      <c r="E150" s="29"/>
      <c r="F150" s="11"/>
      <c r="G150" s="11"/>
      <c r="H150" s="11"/>
    </row>
    <row r="151" spans="4:8" x14ac:dyDescent="0.15">
      <c r="D151" s="29"/>
      <c r="E151" s="29"/>
      <c r="F151" s="11"/>
      <c r="G151" s="11"/>
      <c r="H151" s="11"/>
    </row>
    <row r="152" spans="4:8" x14ac:dyDescent="0.15">
      <c r="D152" s="29"/>
      <c r="E152" s="29"/>
      <c r="F152" s="11"/>
      <c r="G152" s="11"/>
      <c r="H152" s="11"/>
    </row>
    <row r="153" spans="4:8" x14ac:dyDescent="0.15">
      <c r="D153" s="29"/>
      <c r="E153" s="29"/>
      <c r="F153" s="11"/>
      <c r="G153" s="11"/>
      <c r="H153" s="11"/>
    </row>
    <row r="154" spans="4:8" x14ac:dyDescent="0.15">
      <c r="D154" s="29"/>
      <c r="E154" s="29"/>
      <c r="F154" s="11"/>
      <c r="G154" s="11"/>
      <c r="H154" s="11"/>
    </row>
    <row r="155" spans="4:8" x14ac:dyDescent="0.15">
      <c r="D155" s="29"/>
      <c r="E155" s="29"/>
      <c r="F155" s="11"/>
      <c r="G155" s="11"/>
      <c r="H155" s="11"/>
    </row>
    <row r="156" spans="4:8" x14ac:dyDescent="0.15">
      <c r="D156" s="29"/>
      <c r="E156" s="29"/>
      <c r="F156" s="11"/>
      <c r="G156" s="11"/>
      <c r="H156" s="11"/>
    </row>
    <row r="157" spans="4:8" x14ac:dyDescent="0.15">
      <c r="D157" s="29"/>
      <c r="E157" s="29"/>
      <c r="F157" s="11"/>
      <c r="G157" s="11"/>
      <c r="H157" s="11"/>
    </row>
    <row r="158" spans="4:8" x14ac:dyDescent="0.15">
      <c r="D158" s="29"/>
      <c r="E158" s="29"/>
      <c r="F158" s="11"/>
      <c r="G158" s="11"/>
      <c r="H158" s="11"/>
    </row>
    <row r="159" spans="4:8" x14ac:dyDescent="0.15">
      <c r="D159" s="29"/>
      <c r="E159" s="29"/>
      <c r="F159" s="11"/>
      <c r="G159" s="11"/>
      <c r="H159" s="11"/>
    </row>
    <row r="160" spans="4:8" x14ac:dyDescent="0.15">
      <c r="D160" s="29"/>
      <c r="E160" s="29"/>
      <c r="F160" s="11"/>
      <c r="G160" s="11"/>
      <c r="H160" s="11"/>
    </row>
    <row r="161" spans="4:8" x14ac:dyDescent="0.15">
      <c r="D161" s="29"/>
      <c r="E161" s="29"/>
      <c r="F161" s="11"/>
      <c r="G161" s="11"/>
      <c r="H161" s="11"/>
    </row>
    <row r="162" spans="4:8" x14ac:dyDescent="0.15">
      <c r="D162" s="29"/>
      <c r="E162" s="29"/>
      <c r="F162" s="11"/>
      <c r="G162" s="11"/>
      <c r="H162" s="11"/>
    </row>
    <row r="163" spans="4:8" x14ac:dyDescent="0.15">
      <c r="D163" s="29"/>
      <c r="E163" s="29"/>
      <c r="F163" s="11"/>
      <c r="G163" s="11"/>
      <c r="H163" s="11"/>
    </row>
    <row r="164" spans="4:8" x14ac:dyDescent="0.15">
      <c r="D164" s="29"/>
      <c r="E164" s="29"/>
      <c r="F164" s="11"/>
      <c r="G164" s="11"/>
      <c r="H164" s="11"/>
    </row>
    <row r="165" spans="4:8" x14ac:dyDescent="0.15">
      <c r="D165" s="29"/>
      <c r="E165" s="29"/>
      <c r="F165" s="11"/>
      <c r="G165" s="11"/>
      <c r="H165" s="11"/>
    </row>
    <row r="166" spans="4:8" x14ac:dyDescent="0.15">
      <c r="D166" s="29"/>
      <c r="E166" s="29"/>
      <c r="F166" s="11"/>
      <c r="G166" s="11"/>
      <c r="H166" s="11"/>
    </row>
    <row r="167" spans="4:8" x14ac:dyDescent="0.15">
      <c r="D167" s="29"/>
      <c r="E167" s="29"/>
      <c r="F167" s="11"/>
      <c r="G167" s="11"/>
      <c r="H167" s="11"/>
    </row>
    <row r="168" spans="4:8" x14ac:dyDescent="0.15">
      <c r="D168" s="30"/>
      <c r="E168" s="30"/>
      <c r="F168" s="12"/>
      <c r="G168" s="12"/>
      <c r="H168" s="12"/>
    </row>
    <row r="169" spans="4:8" x14ac:dyDescent="0.15">
      <c r="D169" s="30"/>
      <c r="E169" s="30"/>
      <c r="F169" s="12"/>
      <c r="G169" s="12"/>
      <c r="H169" s="12"/>
    </row>
    <row r="170" spans="4:8" x14ac:dyDescent="0.15">
      <c r="D170" s="30"/>
      <c r="E170" s="30"/>
      <c r="F170" s="12"/>
      <c r="G170" s="12"/>
      <c r="H170" s="12"/>
    </row>
    <row r="171" spans="4:8" x14ac:dyDescent="0.15">
      <c r="D171" s="30"/>
      <c r="E171" s="30"/>
      <c r="F171" s="12"/>
      <c r="G171" s="12"/>
      <c r="H171" s="12"/>
    </row>
    <row r="172" spans="4:8" x14ac:dyDescent="0.15">
      <c r="D172" s="31"/>
      <c r="E172" s="31"/>
      <c r="F172" s="13"/>
      <c r="G172" s="13"/>
      <c r="H172" s="13"/>
    </row>
  </sheetData>
  <phoneticPr fontId="6"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64"/>
  <sheetViews>
    <sheetView zoomScale="130" zoomScaleNormal="130" workbookViewId="0">
      <selection activeCell="H10" sqref="H10"/>
    </sheetView>
  </sheetViews>
  <sheetFormatPr defaultColWidth="9" defaultRowHeight="14.25" x14ac:dyDescent="0.15"/>
  <cols>
    <col min="1" max="2" width="6.625" style="6" customWidth="1"/>
    <col min="3" max="3" width="9.125" style="6" customWidth="1"/>
    <col min="4" max="4" width="15.5" style="6" customWidth="1"/>
    <col min="5" max="5" width="38.25" style="6" customWidth="1"/>
    <col min="6" max="16384" width="9" style="6"/>
  </cols>
  <sheetData>
    <row r="1" spans="1:5" x14ac:dyDescent="0.15">
      <c r="A1" s="7" t="s">
        <v>46</v>
      </c>
      <c r="B1" s="7" t="s">
        <v>335</v>
      </c>
      <c r="C1" s="7" t="s">
        <v>43</v>
      </c>
      <c r="D1" s="7" t="s">
        <v>170</v>
      </c>
      <c r="E1" s="7" t="s">
        <v>171</v>
      </c>
    </row>
    <row r="2" spans="1:5" x14ac:dyDescent="0.15">
      <c r="A2" s="8">
        <v>1</v>
      </c>
      <c r="B2" s="8">
        <v>1</v>
      </c>
      <c r="C2" s="8">
        <v>100</v>
      </c>
      <c r="D2" s="8" t="s">
        <v>925</v>
      </c>
      <c r="E2" s="9" t="s">
        <v>172</v>
      </c>
    </row>
    <row r="3" spans="1:5" x14ac:dyDescent="0.15">
      <c r="A3" s="8">
        <v>2</v>
      </c>
      <c r="B3" s="8">
        <v>1</v>
      </c>
      <c r="C3" s="8">
        <v>100</v>
      </c>
      <c r="D3" s="8" t="s">
        <v>926</v>
      </c>
      <c r="E3" s="9" t="s">
        <v>911</v>
      </c>
    </row>
    <row r="4" spans="1:5" x14ac:dyDescent="0.15">
      <c r="A4" s="8">
        <v>3</v>
      </c>
      <c r="B4" s="8">
        <v>2</v>
      </c>
      <c r="C4" s="8">
        <v>300</v>
      </c>
      <c r="D4" s="8" t="s">
        <v>927</v>
      </c>
      <c r="E4" s="9" t="s">
        <v>912</v>
      </c>
    </row>
    <row r="5" spans="1:5" x14ac:dyDescent="0.15">
      <c r="A5" s="8">
        <v>4</v>
      </c>
      <c r="B5" s="8">
        <v>3</v>
      </c>
      <c r="C5" s="8">
        <v>800</v>
      </c>
      <c r="D5" s="8" t="s">
        <v>928</v>
      </c>
      <c r="E5" s="9" t="s">
        <v>910</v>
      </c>
    </row>
    <row r="6" spans="1:5" x14ac:dyDescent="0.15">
      <c r="A6" s="8">
        <v>5</v>
      </c>
      <c r="B6" s="8">
        <v>5</v>
      </c>
      <c r="C6" s="8">
        <v>30000</v>
      </c>
      <c r="D6" s="8" t="s">
        <v>929</v>
      </c>
      <c r="E6" s="9" t="s">
        <v>921</v>
      </c>
    </row>
    <row r="7" spans="1:5" x14ac:dyDescent="0.15">
      <c r="A7" s="8">
        <v>6</v>
      </c>
      <c r="B7" s="8">
        <v>1</v>
      </c>
      <c r="C7" s="8">
        <v>100</v>
      </c>
      <c r="D7" s="8" t="s">
        <v>930</v>
      </c>
      <c r="E7" s="9" t="s">
        <v>919</v>
      </c>
    </row>
    <row r="8" spans="1:5" x14ac:dyDescent="0.15">
      <c r="A8" s="8">
        <v>7</v>
      </c>
      <c r="B8" s="8">
        <v>2</v>
      </c>
      <c r="C8" s="8">
        <v>300</v>
      </c>
      <c r="D8" s="8" t="s">
        <v>931</v>
      </c>
      <c r="E8" s="9" t="s">
        <v>312</v>
      </c>
    </row>
    <row r="9" spans="1:5" x14ac:dyDescent="0.15">
      <c r="A9" s="8">
        <v>8</v>
      </c>
      <c r="B9" s="8">
        <v>3</v>
      </c>
      <c r="C9" s="8">
        <v>800</v>
      </c>
      <c r="D9" s="8" t="s">
        <v>932</v>
      </c>
      <c r="E9" s="9" t="s">
        <v>920</v>
      </c>
    </row>
    <row r="10" spans="1:5" x14ac:dyDescent="0.15">
      <c r="A10" s="8">
        <v>9</v>
      </c>
      <c r="B10" s="8">
        <v>4</v>
      </c>
      <c r="C10" s="8">
        <v>2000</v>
      </c>
      <c r="D10" s="8" t="s">
        <v>933</v>
      </c>
      <c r="E10" s="9" t="s">
        <v>313</v>
      </c>
    </row>
    <row r="11" spans="1:5" x14ac:dyDescent="0.15">
      <c r="A11" s="8">
        <v>10</v>
      </c>
      <c r="B11" s="8">
        <v>1</v>
      </c>
      <c r="C11" s="8">
        <v>100</v>
      </c>
      <c r="D11" s="8" t="s">
        <v>938</v>
      </c>
      <c r="E11" s="9" t="s">
        <v>924</v>
      </c>
    </row>
    <row r="12" spans="1:5" x14ac:dyDescent="0.15">
      <c r="A12" s="8">
        <v>11</v>
      </c>
      <c r="B12" s="8">
        <v>2</v>
      </c>
      <c r="C12" s="8">
        <v>300</v>
      </c>
      <c r="D12" s="8" t="s">
        <v>939</v>
      </c>
      <c r="E12" s="9" t="s">
        <v>922</v>
      </c>
    </row>
    <row r="13" spans="1:5" x14ac:dyDescent="0.15">
      <c r="A13" s="8">
        <v>12</v>
      </c>
      <c r="B13" s="8">
        <v>3</v>
      </c>
      <c r="C13" s="8">
        <v>800</v>
      </c>
      <c r="D13" s="8" t="s">
        <v>940</v>
      </c>
      <c r="E13" s="9" t="s">
        <v>923</v>
      </c>
    </row>
    <row r="14" spans="1:5" x14ac:dyDescent="0.15">
      <c r="A14" s="8">
        <v>13</v>
      </c>
      <c r="B14" s="8">
        <v>4</v>
      </c>
      <c r="C14" s="8">
        <v>2000</v>
      </c>
      <c r="D14" s="8" t="s">
        <v>941</v>
      </c>
      <c r="E14" s="9" t="s">
        <v>968</v>
      </c>
    </row>
    <row r="15" spans="1:5" x14ac:dyDescent="0.15">
      <c r="A15" s="8">
        <v>14</v>
      </c>
      <c r="B15" s="8">
        <v>1</v>
      </c>
      <c r="C15" s="8">
        <v>100</v>
      </c>
      <c r="D15" s="8" t="s">
        <v>934</v>
      </c>
      <c r="E15" s="9" t="s">
        <v>975</v>
      </c>
    </row>
    <row r="16" spans="1:5" x14ac:dyDescent="0.15">
      <c r="A16" s="8">
        <v>15</v>
      </c>
      <c r="B16" s="8">
        <v>2</v>
      </c>
      <c r="C16" s="8">
        <v>300</v>
      </c>
      <c r="D16" s="8" t="s">
        <v>935</v>
      </c>
      <c r="E16" s="9" t="s">
        <v>976</v>
      </c>
    </row>
    <row r="17" spans="1:5" x14ac:dyDescent="0.15">
      <c r="A17" s="8">
        <v>16</v>
      </c>
      <c r="B17" s="8">
        <v>3</v>
      </c>
      <c r="C17" s="8">
        <v>800</v>
      </c>
      <c r="D17" s="8" t="s">
        <v>936</v>
      </c>
      <c r="E17" s="9" t="s">
        <v>978</v>
      </c>
    </row>
    <row r="18" spans="1:5" x14ac:dyDescent="0.15">
      <c r="A18" s="8">
        <v>17</v>
      </c>
      <c r="B18" s="8">
        <v>4</v>
      </c>
      <c r="C18" s="8">
        <v>2000</v>
      </c>
      <c r="D18" s="8" t="s">
        <v>937</v>
      </c>
      <c r="E18" s="9" t="s">
        <v>977</v>
      </c>
    </row>
    <row r="19" spans="1:5" x14ac:dyDescent="0.15">
      <c r="A19" s="8">
        <v>18</v>
      </c>
      <c r="B19" s="8">
        <v>2</v>
      </c>
      <c r="C19" s="8">
        <v>300</v>
      </c>
      <c r="D19" s="8" t="s">
        <v>959</v>
      </c>
      <c r="E19" s="6" t="s">
        <v>969</v>
      </c>
    </row>
    <row r="20" spans="1:5" x14ac:dyDescent="0.15">
      <c r="A20" s="8">
        <v>19</v>
      </c>
      <c r="B20" s="8">
        <v>3</v>
      </c>
      <c r="C20" s="8">
        <v>800</v>
      </c>
      <c r="D20" s="8" t="s">
        <v>960</v>
      </c>
      <c r="E20" s="6" t="s">
        <v>970</v>
      </c>
    </row>
    <row r="21" spans="1:5" x14ac:dyDescent="0.15">
      <c r="A21" s="8">
        <v>20</v>
      </c>
      <c r="B21" s="8">
        <v>2</v>
      </c>
      <c r="C21" s="8">
        <v>300</v>
      </c>
      <c r="D21" s="8" t="s">
        <v>963</v>
      </c>
      <c r="E21" s="6" t="s">
        <v>971</v>
      </c>
    </row>
    <row r="22" spans="1:5" x14ac:dyDescent="0.15">
      <c r="A22" s="8">
        <v>21</v>
      </c>
      <c r="B22" s="8">
        <v>3</v>
      </c>
      <c r="C22" s="8">
        <v>800</v>
      </c>
      <c r="D22" s="8" t="s">
        <v>964</v>
      </c>
      <c r="E22" s="6" t="s">
        <v>972</v>
      </c>
    </row>
    <row r="23" spans="1:5" x14ac:dyDescent="0.15">
      <c r="A23" s="8">
        <v>22</v>
      </c>
      <c r="B23" s="8">
        <v>2</v>
      </c>
      <c r="C23" s="8">
        <v>300</v>
      </c>
      <c r="D23" s="8" t="s">
        <v>961</v>
      </c>
      <c r="E23" s="6" t="s">
        <v>973</v>
      </c>
    </row>
    <row r="24" spans="1:5" x14ac:dyDescent="0.15">
      <c r="A24" s="8">
        <v>23</v>
      </c>
      <c r="B24" s="8">
        <v>3</v>
      </c>
      <c r="C24" s="8">
        <v>800</v>
      </c>
      <c r="D24" s="8" t="s">
        <v>962</v>
      </c>
      <c r="E24" s="6" t="s">
        <v>974</v>
      </c>
    </row>
    <row r="25" spans="1:5" x14ac:dyDescent="0.15">
      <c r="A25" s="8">
        <v>24</v>
      </c>
      <c r="B25" s="8">
        <v>3</v>
      </c>
      <c r="C25" s="8">
        <v>800</v>
      </c>
      <c r="D25" s="8" t="s">
        <v>981</v>
      </c>
      <c r="E25" s="9" t="s">
        <v>979</v>
      </c>
    </row>
    <row r="26" spans="1:5" x14ac:dyDescent="0.15">
      <c r="A26" s="8">
        <v>25</v>
      </c>
      <c r="B26" s="8">
        <v>2</v>
      </c>
      <c r="C26" s="8">
        <v>300</v>
      </c>
      <c r="D26" s="8" t="s">
        <v>942</v>
      </c>
      <c r="E26" s="19" t="s">
        <v>315</v>
      </c>
    </row>
    <row r="27" spans="1:5" x14ac:dyDescent="0.15">
      <c r="A27" s="8">
        <v>26</v>
      </c>
      <c r="B27" s="8">
        <v>3</v>
      </c>
      <c r="C27" s="8">
        <v>800</v>
      </c>
      <c r="D27" s="8" t="s">
        <v>965</v>
      </c>
      <c r="E27" s="9" t="s">
        <v>980</v>
      </c>
    </row>
    <row r="28" spans="1:5" x14ac:dyDescent="0.15">
      <c r="A28" s="8">
        <v>27</v>
      </c>
      <c r="B28" s="8">
        <v>3</v>
      </c>
      <c r="C28" s="8">
        <v>800</v>
      </c>
      <c r="D28" s="8" t="s">
        <v>966</v>
      </c>
      <c r="E28" s="9" t="s">
        <v>943</v>
      </c>
    </row>
    <row r="29" spans="1:5" x14ac:dyDescent="0.15">
      <c r="A29" s="8">
        <v>28</v>
      </c>
      <c r="B29" s="8">
        <v>3</v>
      </c>
      <c r="C29" s="8">
        <v>800</v>
      </c>
      <c r="D29" s="8" t="s">
        <v>967</v>
      </c>
      <c r="E29" s="19" t="s">
        <v>319</v>
      </c>
    </row>
    <row r="30" spans="1:5" x14ac:dyDescent="0.15">
      <c r="A30" s="8">
        <v>29</v>
      </c>
      <c r="B30" s="8">
        <v>2</v>
      </c>
      <c r="C30" s="8">
        <v>300</v>
      </c>
      <c r="D30" s="8" t="s">
        <v>944</v>
      </c>
      <c r="E30" s="9" t="s">
        <v>314</v>
      </c>
    </row>
    <row r="31" spans="1:5" x14ac:dyDescent="0.15">
      <c r="A31" s="8">
        <v>30</v>
      </c>
      <c r="B31" s="8">
        <v>3</v>
      </c>
      <c r="C31" s="8">
        <v>800</v>
      </c>
      <c r="D31" s="8" t="s">
        <v>945</v>
      </c>
      <c r="E31" s="19" t="s">
        <v>320</v>
      </c>
    </row>
    <row r="32" spans="1:5" x14ac:dyDescent="0.15">
      <c r="A32" s="8">
        <v>31</v>
      </c>
      <c r="B32" s="8">
        <v>1</v>
      </c>
      <c r="C32" s="8">
        <v>100</v>
      </c>
      <c r="D32" s="8" t="s">
        <v>982</v>
      </c>
      <c r="E32" s="9" t="s">
        <v>321</v>
      </c>
    </row>
    <row r="33" spans="1:5" x14ac:dyDescent="0.15">
      <c r="A33" s="8">
        <v>32</v>
      </c>
      <c r="B33" s="8">
        <v>2</v>
      </c>
      <c r="C33" s="8">
        <v>300</v>
      </c>
      <c r="D33" s="8" t="s">
        <v>983</v>
      </c>
      <c r="E33" s="9" t="s">
        <v>325</v>
      </c>
    </row>
    <row r="34" spans="1:5" x14ac:dyDescent="0.15">
      <c r="A34" s="8">
        <v>33</v>
      </c>
      <c r="B34" s="8">
        <v>3</v>
      </c>
      <c r="C34" s="8">
        <v>800</v>
      </c>
      <c r="D34" s="8" t="s">
        <v>984</v>
      </c>
      <c r="E34" s="9" t="s">
        <v>986</v>
      </c>
    </row>
    <row r="35" spans="1:5" x14ac:dyDescent="0.15">
      <c r="A35" s="8">
        <v>34</v>
      </c>
      <c r="B35" s="8">
        <v>4</v>
      </c>
      <c r="C35" s="8">
        <v>2000</v>
      </c>
      <c r="D35" s="8" t="s">
        <v>985</v>
      </c>
      <c r="E35" s="9" t="s">
        <v>987</v>
      </c>
    </row>
    <row r="36" spans="1:5" x14ac:dyDescent="0.15">
      <c r="A36" s="8">
        <v>35</v>
      </c>
      <c r="B36" s="8">
        <v>2</v>
      </c>
      <c r="C36" s="8">
        <v>300</v>
      </c>
      <c r="D36" s="8" t="s">
        <v>946</v>
      </c>
      <c r="E36" s="9" t="s">
        <v>994</v>
      </c>
    </row>
    <row r="37" spans="1:5" x14ac:dyDescent="0.15">
      <c r="A37" s="8">
        <v>36</v>
      </c>
      <c r="B37" s="8">
        <v>3</v>
      </c>
      <c r="C37" s="8">
        <v>800</v>
      </c>
      <c r="D37" s="8" t="s">
        <v>947</v>
      </c>
      <c r="E37" s="9" t="s">
        <v>995</v>
      </c>
    </row>
    <row r="38" spans="1:5" x14ac:dyDescent="0.15">
      <c r="A38" s="8">
        <v>37</v>
      </c>
      <c r="B38" s="8">
        <v>4</v>
      </c>
      <c r="C38" s="8">
        <v>2000</v>
      </c>
      <c r="D38" s="8" t="s">
        <v>948</v>
      </c>
      <c r="E38" s="19" t="s">
        <v>322</v>
      </c>
    </row>
    <row r="39" spans="1:5" x14ac:dyDescent="0.15">
      <c r="A39" s="8">
        <v>38</v>
      </c>
      <c r="B39" s="8">
        <v>2</v>
      </c>
      <c r="C39" s="8">
        <v>300</v>
      </c>
      <c r="D39" s="8" t="s">
        <v>949</v>
      </c>
      <c r="E39" s="9" t="s">
        <v>996</v>
      </c>
    </row>
    <row r="40" spans="1:5" x14ac:dyDescent="0.15">
      <c r="A40" s="8">
        <v>39</v>
      </c>
      <c r="B40" s="8">
        <v>3</v>
      </c>
      <c r="C40" s="8">
        <v>800</v>
      </c>
      <c r="D40" s="8" t="s">
        <v>950</v>
      </c>
      <c r="E40" s="9" t="s">
        <v>996</v>
      </c>
    </row>
    <row r="41" spans="1:5" x14ac:dyDescent="0.15">
      <c r="A41" s="8">
        <v>40</v>
      </c>
      <c r="B41" s="8">
        <v>4</v>
      </c>
      <c r="C41" s="8">
        <v>2000</v>
      </c>
      <c r="D41" s="8" t="s">
        <v>951</v>
      </c>
      <c r="E41" s="19" t="s">
        <v>323</v>
      </c>
    </row>
    <row r="42" spans="1:5" x14ac:dyDescent="0.15">
      <c r="A42" s="8">
        <v>41</v>
      </c>
      <c r="B42" s="8">
        <v>2</v>
      </c>
      <c r="C42" s="8">
        <v>300</v>
      </c>
      <c r="D42" s="8" t="s">
        <v>956</v>
      </c>
      <c r="E42" s="6" t="s">
        <v>988</v>
      </c>
    </row>
    <row r="43" spans="1:5" x14ac:dyDescent="0.15">
      <c r="A43" s="8">
        <v>42</v>
      </c>
      <c r="B43" s="8">
        <v>3</v>
      </c>
      <c r="C43" s="8">
        <v>800</v>
      </c>
      <c r="D43" s="8" t="s">
        <v>957</v>
      </c>
      <c r="E43" s="6" t="s">
        <v>324</v>
      </c>
    </row>
    <row r="44" spans="1:5" x14ac:dyDescent="0.15">
      <c r="A44" s="8">
        <v>43</v>
      </c>
      <c r="B44" s="8">
        <v>4</v>
      </c>
      <c r="C44" s="8">
        <v>2000</v>
      </c>
      <c r="D44" s="8" t="s">
        <v>958</v>
      </c>
      <c r="E44" s="6" t="s">
        <v>989</v>
      </c>
    </row>
    <row r="45" spans="1:5" x14ac:dyDescent="0.15">
      <c r="A45" s="8">
        <v>44</v>
      </c>
      <c r="B45" s="8">
        <v>2</v>
      </c>
      <c r="C45" s="8">
        <v>300</v>
      </c>
      <c r="D45" s="8" t="s">
        <v>990</v>
      </c>
      <c r="E45" s="6" t="s">
        <v>316</v>
      </c>
    </row>
    <row r="46" spans="1:5" x14ac:dyDescent="0.15">
      <c r="A46" s="8">
        <v>45</v>
      </c>
      <c r="B46" s="8">
        <v>3</v>
      </c>
      <c r="C46" s="8">
        <v>800</v>
      </c>
      <c r="D46" s="8" t="s">
        <v>991</v>
      </c>
      <c r="E46" s="6" t="s">
        <v>318</v>
      </c>
    </row>
    <row r="47" spans="1:5" x14ac:dyDescent="0.15">
      <c r="A47" s="8">
        <v>46</v>
      </c>
      <c r="B47" s="8">
        <v>4</v>
      </c>
      <c r="C47" s="8">
        <v>2000</v>
      </c>
      <c r="D47" s="8" t="s">
        <v>992</v>
      </c>
      <c r="E47" s="6" t="s">
        <v>317</v>
      </c>
    </row>
    <row r="48" spans="1:5" x14ac:dyDescent="0.15">
      <c r="A48" s="8">
        <v>47</v>
      </c>
      <c r="B48" s="8">
        <v>1</v>
      </c>
      <c r="C48" s="8">
        <v>100</v>
      </c>
      <c r="D48" s="8" t="s">
        <v>952</v>
      </c>
      <c r="E48" s="9" t="s">
        <v>915</v>
      </c>
    </row>
    <row r="49" spans="1:5" x14ac:dyDescent="0.15">
      <c r="A49" s="8">
        <v>48</v>
      </c>
      <c r="B49" s="8">
        <v>2</v>
      </c>
      <c r="C49" s="8">
        <v>300</v>
      </c>
      <c r="D49" s="8" t="s">
        <v>953</v>
      </c>
      <c r="E49" s="9" t="s">
        <v>913</v>
      </c>
    </row>
    <row r="50" spans="1:5" x14ac:dyDescent="0.15">
      <c r="A50" s="8">
        <v>49</v>
      </c>
      <c r="B50" s="8">
        <v>3</v>
      </c>
      <c r="C50" s="8">
        <v>800</v>
      </c>
      <c r="D50" s="8" t="s">
        <v>954</v>
      </c>
      <c r="E50" s="9" t="s">
        <v>916</v>
      </c>
    </row>
    <row r="51" spans="1:5" x14ac:dyDescent="0.15">
      <c r="A51" s="8">
        <v>50</v>
      </c>
      <c r="B51" s="8">
        <v>5</v>
      </c>
      <c r="C51" s="8">
        <v>30000</v>
      </c>
      <c r="D51" s="8" t="s">
        <v>955</v>
      </c>
      <c r="E51" s="9" t="s">
        <v>914</v>
      </c>
    </row>
    <row r="52" spans="1:5" x14ac:dyDescent="0.15">
      <c r="A52" s="8"/>
      <c r="B52" s="8"/>
      <c r="C52" s="8"/>
      <c r="D52" s="18"/>
    </row>
    <row r="53" spans="1:5" x14ac:dyDescent="0.15">
      <c r="A53" s="8"/>
      <c r="B53" s="8"/>
      <c r="C53" s="8"/>
      <c r="D53" s="18"/>
    </row>
    <row r="54" spans="1:5" x14ac:dyDescent="0.15">
      <c r="A54" s="8"/>
      <c r="B54" s="8"/>
      <c r="C54" s="8"/>
      <c r="D54" s="18"/>
    </row>
    <row r="55" spans="1:5" x14ac:dyDescent="0.15">
      <c r="A55" s="8"/>
      <c r="B55" s="8"/>
      <c r="C55" s="8"/>
      <c r="D55" s="18"/>
      <c r="E55" s="19"/>
    </row>
    <row r="56" spans="1:5" x14ac:dyDescent="0.15">
      <c r="A56" s="8"/>
      <c r="B56" s="8"/>
      <c r="C56" s="8"/>
      <c r="D56" s="18"/>
    </row>
    <row r="57" spans="1:5" x14ac:dyDescent="0.15">
      <c r="A57" s="8"/>
      <c r="B57" s="8"/>
      <c r="C57" s="8"/>
      <c r="D57" s="18"/>
    </row>
    <row r="58" spans="1:5" x14ac:dyDescent="0.15">
      <c r="A58" s="8"/>
      <c r="B58" s="8"/>
      <c r="C58" s="8"/>
      <c r="D58" s="18"/>
    </row>
    <row r="59" spans="1:5" x14ac:dyDescent="0.15">
      <c r="A59" s="8"/>
      <c r="B59" s="8"/>
      <c r="C59" s="8"/>
      <c r="D59" s="18"/>
    </row>
    <row r="60" spans="1:5" x14ac:dyDescent="0.15">
      <c r="A60" s="8"/>
      <c r="B60" s="8"/>
      <c r="C60" s="8"/>
      <c r="D60" s="18"/>
    </row>
    <row r="61" spans="1:5" x14ac:dyDescent="0.15">
      <c r="A61" s="8"/>
      <c r="B61" s="8"/>
      <c r="C61" s="8"/>
      <c r="D61" s="18"/>
    </row>
    <row r="62" spans="1:5" x14ac:dyDescent="0.15">
      <c r="A62" s="8"/>
      <c r="B62" s="8"/>
      <c r="C62" s="8"/>
      <c r="D62" s="18"/>
    </row>
    <row r="63" spans="1:5" x14ac:dyDescent="0.15">
      <c r="A63" s="8"/>
      <c r="B63" s="8"/>
      <c r="C63" s="8"/>
      <c r="D63" s="18"/>
    </row>
    <row r="64" spans="1:5" x14ac:dyDescent="0.15">
      <c r="A64" s="8"/>
      <c r="B64" s="8"/>
      <c r="C64" s="8"/>
      <c r="D64" s="18"/>
    </row>
  </sheetData>
  <autoFilter ref="C1:C64" xr:uid="{00000000-0001-0000-0400-000000000000}"/>
  <phoneticPr fontId="6" type="noConversion"/>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1"/>
  <sheetViews>
    <sheetView topLeftCell="A37" zoomScale="130" zoomScaleNormal="130" workbookViewId="0">
      <selection activeCell="C38" sqref="C38"/>
    </sheetView>
  </sheetViews>
  <sheetFormatPr defaultColWidth="9" defaultRowHeight="90.95" customHeight="1" x14ac:dyDescent="0.15"/>
  <cols>
    <col min="1" max="1" width="9" style="1"/>
    <col min="2" max="2" width="25.625" style="2" customWidth="1"/>
    <col min="3" max="3" width="70.875" style="3" customWidth="1"/>
    <col min="4" max="16384" width="9" style="2"/>
  </cols>
  <sheetData>
    <row r="1" spans="1:3" ht="90.95" customHeight="1" x14ac:dyDescent="0.15">
      <c r="A1" s="4" t="s">
        <v>46</v>
      </c>
      <c r="B1" s="4" t="s">
        <v>173</v>
      </c>
      <c r="C1" s="5" t="s">
        <v>174</v>
      </c>
    </row>
    <row r="2" spans="1:3" ht="90.95" customHeight="1" x14ac:dyDescent="0.15">
      <c r="A2" s="14">
        <v>1</v>
      </c>
      <c r="B2" s="22" t="s">
        <v>175</v>
      </c>
      <c r="C2" s="23" t="s">
        <v>176</v>
      </c>
    </row>
    <row r="3" spans="1:3" ht="90.95" customHeight="1" x14ac:dyDescent="0.15">
      <c r="A3" s="14">
        <v>2</v>
      </c>
      <c r="B3" s="22" t="s">
        <v>177</v>
      </c>
      <c r="C3" s="23" t="s">
        <v>178</v>
      </c>
    </row>
    <row r="4" spans="1:3" ht="90.95" customHeight="1" x14ac:dyDescent="0.15">
      <c r="A4" s="14">
        <v>3</v>
      </c>
      <c r="B4" s="22" t="s">
        <v>179</v>
      </c>
      <c r="C4" s="23" t="s">
        <v>180</v>
      </c>
    </row>
    <row r="5" spans="1:3" ht="90.95" customHeight="1" x14ac:dyDescent="0.15">
      <c r="A5" s="14">
        <v>4</v>
      </c>
      <c r="B5" s="22" t="s">
        <v>181</v>
      </c>
      <c r="C5" s="23" t="s">
        <v>182</v>
      </c>
    </row>
    <row r="6" spans="1:3" ht="90.95" customHeight="1" x14ac:dyDescent="0.15">
      <c r="A6" s="14">
        <v>5</v>
      </c>
      <c r="B6" s="22" t="s">
        <v>171</v>
      </c>
      <c r="C6" s="23" t="s">
        <v>182</v>
      </c>
    </row>
    <row r="7" spans="1:3" ht="90.95" customHeight="1" x14ac:dyDescent="0.15">
      <c r="A7" s="14">
        <v>6</v>
      </c>
      <c r="B7" s="22" t="s">
        <v>183</v>
      </c>
      <c r="C7" s="23" t="s">
        <v>184</v>
      </c>
    </row>
    <row r="8" spans="1:3" ht="90.95" customHeight="1" x14ac:dyDescent="0.15">
      <c r="A8" s="1">
        <v>7</v>
      </c>
      <c r="B8" s="2" t="s">
        <v>185</v>
      </c>
      <c r="C8" s="3" t="s">
        <v>186</v>
      </c>
    </row>
    <row r="9" spans="1:3" ht="90.95" customHeight="1" x14ac:dyDescent="0.15">
      <c r="A9" s="14">
        <v>8</v>
      </c>
      <c r="B9" s="22" t="s">
        <v>187</v>
      </c>
      <c r="C9" s="23" t="s">
        <v>188</v>
      </c>
    </row>
    <row r="10" spans="1:3" ht="90.95" customHeight="1" x14ac:dyDescent="0.15">
      <c r="A10" s="14">
        <v>9</v>
      </c>
      <c r="B10" s="22" t="s">
        <v>189</v>
      </c>
      <c r="C10" s="23" t="s">
        <v>190</v>
      </c>
    </row>
    <row r="11" spans="1:3" ht="90.95" customHeight="1" x14ac:dyDescent="0.15">
      <c r="A11" s="14">
        <v>10</v>
      </c>
      <c r="B11" s="22" t="s">
        <v>191</v>
      </c>
      <c r="C11" s="23" t="s">
        <v>192</v>
      </c>
    </row>
    <row r="12" spans="1:3" ht="90.95" customHeight="1" x14ac:dyDescent="0.15">
      <c r="A12" s="14">
        <v>11</v>
      </c>
      <c r="B12" s="22" t="s">
        <v>193</v>
      </c>
      <c r="C12" s="23" t="s">
        <v>194</v>
      </c>
    </row>
    <row r="13" spans="1:3" ht="90.95" customHeight="1" x14ac:dyDescent="0.15">
      <c r="A13" s="14">
        <v>12</v>
      </c>
      <c r="B13" s="22" t="s">
        <v>195</v>
      </c>
      <c r="C13" s="23" t="s">
        <v>196</v>
      </c>
    </row>
    <row r="14" spans="1:3" ht="90.95" customHeight="1" x14ac:dyDescent="0.15">
      <c r="A14" s="14">
        <v>13</v>
      </c>
      <c r="B14" s="22" t="s">
        <v>197</v>
      </c>
      <c r="C14" s="23" t="s">
        <v>198</v>
      </c>
    </row>
    <row r="15" spans="1:3" ht="90.95" customHeight="1" x14ac:dyDescent="0.15">
      <c r="A15" s="14">
        <v>14</v>
      </c>
      <c r="B15" s="22" t="s">
        <v>199</v>
      </c>
      <c r="C15" s="23" t="s">
        <v>200</v>
      </c>
    </row>
    <row r="16" spans="1:3" ht="90.95" customHeight="1" x14ac:dyDescent="0.15">
      <c r="A16" s="14">
        <v>15</v>
      </c>
      <c r="B16" s="22" t="s">
        <v>201</v>
      </c>
      <c r="C16" s="23" t="s">
        <v>202</v>
      </c>
    </row>
    <row r="17" spans="1:3" ht="90.95" customHeight="1" x14ac:dyDescent="0.15">
      <c r="A17" s="14">
        <v>16</v>
      </c>
      <c r="B17" s="22" t="s">
        <v>203</v>
      </c>
      <c r="C17" s="23" t="s">
        <v>204</v>
      </c>
    </row>
    <row r="18" spans="1:3" ht="90.95" customHeight="1" x14ac:dyDescent="0.15">
      <c r="A18" s="14">
        <v>17</v>
      </c>
      <c r="B18" s="20" t="s">
        <v>218</v>
      </c>
      <c r="C18" s="21" t="s">
        <v>219</v>
      </c>
    </row>
    <row r="19" spans="1:3" ht="90.95" customHeight="1" x14ac:dyDescent="0.15">
      <c r="A19" s="14">
        <v>18</v>
      </c>
      <c r="B19" s="20" t="s">
        <v>246</v>
      </c>
      <c r="C19" s="21" t="s">
        <v>247</v>
      </c>
    </row>
    <row r="20" spans="1:3" ht="90.95" customHeight="1" x14ac:dyDescent="0.15">
      <c r="A20" s="14">
        <v>19</v>
      </c>
      <c r="B20" s="20" t="s">
        <v>326</v>
      </c>
      <c r="C20" s="23"/>
    </row>
    <row r="22" spans="1:3" ht="90.95" customHeight="1" x14ac:dyDescent="0.15">
      <c r="B22" s="22" t="s">
        <v>337</v>
      </c>
    </row>
    <row r="23" spans="1:3" ht="90.95" customHeight="1" x14ac:dyDescent="0.15">
      <c r="B23" s="22" t="s">
        <v>338</v>
      </c>
    </row>
    <row r="24" spans="1:3" ht="90.95" customHeight="1" x14ac:dyDescent="0.15">
      <c r="B24" s="22" t="s">
        <v>339</v>
      </c>
    </row>
    <row r="25" spans="1:3" ht="90.95" customHeight="1" x14ac:dyDescent="0.15">
      <c r="B25" s="22" t="s">
        <v>340</v>
      </c>
    </row>
    <row r="26" spans="1:3" ht="90.95" customHeight="1" x14ac:dyDescent="0.15">
      <c r="B26" s="22" t="s">
        <v>341</v>
      </c>
    </row>
    <row r="27" spans="1:3" ht="90.95" customHeight="1" x14ac:dyDescent="0.15">
      <c r="B27" s="22" t="s">
        <v>342</v>
      </c>
    </row>
    <row r="29" spans="1:3" ht="90.95" customHeight="1" x14ac:dyDescent="0.15">
      <c r="B29" s="22" t="s">
        <v>998</v>
      </c>
    </row>
    <row r="30" spans="1:3" ht="90.95" customHeight="1" x14ac:dyDescent="0.15">
      <c r="B30" s="22" t="s">
        <v>997</v>
      </c>
    </row>
    <row r="31" spans="1:3" ht="90.95" customHeight="1" x14ac:dyDescent="0.15">
      <c r="B31" s="22" t="s">
        <v>999</v>
      </c>
    </row>
    <row r="32" spans="1:3" ht="90.95" customHeight="1" x14ac:dyDescent="0.15">
      <c r="B32" s="22" t="s">
        <v>1000</v>
      </c>
    </row>
    <row r="33" spans="2:3" ht="90.95" customHeight="1" x14ac:dyDescent="0.15">
      <c r="B33" s="2" t="s">
        <v>1001</v>
      </c>
    </row>
    <row r="34" spans="2:3" ht="90.95" customHeight="1" x14ac:dyDescent="0.15">
      <c r="B34" s="22" t="s">
        <v>1002</v>
      </c>
    </row>
    <row r="35" spans="2:3" ht="90.95" customHeight="1" x14ac:dyDescent="0.15">
      <c r="B35" s="22" t="s">
        <v>1003</v>
      </c>
    </row>
    <row r="36" spans="2:3" ht="90.95" customHeight="1" x14ac:dyDescent="0.15">
      <c r="B36" s="22" t="s">
        <v>1007</v>
      </c>
      <c r="C36" s="3" t="s">
        <v>1008</v>
      </c>
    </row>
    <row r="37" spans="2:3" ht="90.95" customHeight="1" x14ac:dyDescent="0.15">
      <c r="B37" s="2" t="s">
        <v>1009</v>
      </c>
    </row>
    <row r="38" spans="2:3" ht="90.95" customHeight="1" x14ac:dyDescent="0.15">
      <c r="B38" s="22" t="s">
        <v>1014</v>
      </c>
    </row>
    <row r="39" spans="2:3" ht="90.95" customHeight="1" x14ac:dyDescent="0.15">
      <c r="B39" s="2" t="s">
        <v>1015</v>
      </c>
    </row>
    <row r="40" spans="2:3" ht="90.95" customHeight="1" x14ac:dyDescent="0.15">
      <c r="B40" s="22" t="s">
        <v>1016</v>
      </c>
    </row>
    <row r="41" spans="2:3" ht="90.95" customHeight="1" x14ac:dyDescent="0.15">
      <c r="B41" s="22" t="s">
        <v>1017</v>
      </c>
    </row>
  </sheetData>
  <phoneticPr fontId="6" type="noConversion"/>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364EBF-F876-4E2A-9AF0-90FBEA06F765}">
  <dimension ref="A1:I41"/>
  <sheetViews>
    <sheetView topLeftCell="A10" zoomScale="130" zoomScaleNormal="130" workbookViewId="0">
      <selection activeCell="G44" sqref="G44"/>
    </sheetView>
  </sheetViews>
  <sheetFormatPr defaultRowHeight="14.25" x14ac:dyDescent="0.15"/>
  <cols>
    <col min="1" max="1" width="6" style="8" customWidth="1"/>
    <col min="2" max="5" width="14.625" style="9" customWidth="1"/>
    <col min="6" max="6" width="74.875" style="8" customWidth="1"/>
    <col min="7" max="9" width="74.875" style="9" customWidth="1"/>
    <col min="10" max="16384" width="9" style="8"/>
  </cols>
  <sheetData>
    <row r="1" spans="1:9" s="7" customFormat="1" x14ac:dyDescent="0.15">
      <c r="A1" s="36" t="s">
        <v>404</v>
      </c>
      <c r="B1" s="36" t="s">
        <v>405</v>
      </c>
      <c r="C1" s="36" t="s">
        <v>406</v>
      </c>
      <c r="D1" s="7" t="s">
        <v>497</v>
      </c>
      <c r="E1" s="7" t="s">
        <v>594</v>
      </c>
      <c r="F1" s="7" t="s">
        <v>258</v>
      </c>
      <c r="G1" s="37" t="s">
        <v>433</v>
      </c>
      <c r="H1" s="37" t="s">
        <v>432</v>
      </c>
      <c r="I1" s="38" t="s">
        <v>434</v>
      </c>
    </row>
    <row r="2" spans="1:9" x14ac:dyDescent="0.15">
      <c r="A2" s="39">
        <v>1</v>
      </c>
      <c r="B2" s="40" t="s">
        <v>87</v>
      </c>
      <c r="C2" s="40" t="s">
        <v>87</v>
      </c>
      <c r="D2" s="9" t="s">
        <v>88</v>
      </c>
      <c r="E2" s="9" t="s">
        <v>561</v>
      </c>
      <c r="F2" s="6" t="s">
        <v>365</v>
      </c>
      <c r="G2" s="40" t="s">
        <v>435</v>
      </c>
      <c r="H2" s="40" t="s">
        <v>599</v>
      </c>
      <c r="I2" s="9" t="s">
        <v>436</v>
      </c>
    </row>
    <row r="3" spans="1:9" x14ac:dyDescent="0.15">
      <c r="A3" s="39">
        <v>2</v>
      </c>
      <c r="B3" s="40" t="s">
        <v>89</v>
      </c>
      <c r="C3" s="40" t="s">
        <v>407</v>
      </c>
      <c r="D3" s="9" t="s">
        <v>90</v>
      </c>
      <c r="E3" s="9" t="s">
        <v>562</v>
      </c>
      <c r="F3" s="6" t="s">
        <v>366</v>
      </c>
      <c r="G3" s="40" t="s">
        <v>437</v>
      </c>
      <c r="H3" s="40" t="s">
        <v>603</v>
      </c>
      <c r="I3" s="9" t="s">
        <v>438</v>
      </c>
    </row>
    <row r="4" spans="1:9" x14ac:dyDescent="0.15">
      <c r="A4" s="39">
        <v>3</v>
      </c>
      <c r="B4" s="40" t="s">
        <v>408</v>
      </c>
      <c r="C4" s="40" t="s">
        <v>409</v>
      </c>
      <c r="D4" s="9" t="s">
        <v>277</v>
      </c>
      <c r="E4" s="9" t="s">
        <v>563</v>
      </c>
      <c r="F4" s="6" t="s">
        <v>367</v>
      </c>
      <c r="G4" s="40" t="s">
        <v>439</v>
      </c>
      <c r="H4" s="40" t="s">
        <v>604</v>
      </c>
      <c r="I4" s="9" t="s">
        <v>440</v>
      </c>
    </row>
    <row r="5" spans="1:9" x14ac:dyDescent="0.15">
      <c r="A5" s="39">
        <v>4</v>
      </c>
      <c r="B5" s="40" t="s">
        <v>91</v>
      </c>
      <c r="C5" s="40" t="s">
        <v>410</v>
      </c>
      <c r="D5" s="9" t="s">
        <v>92</v>
      </c>
      <c r="E5" s="9" t="s">
        <v>564</v>
      </c>
      <c r="F5" s="35" t="s">
        <v>368</v>
      </c>
      <c r="G5" s="40" t="s">
        <v>441</v>
      </c>
      <c r="H5" s="40" t="s">
        <v>615</v>
      </c>
      <c r="I5" s="9" t="s">
        <v>442</v>
      </c>
    </row>
    <row r="6" spans="1:9" x14ac:dyDescent="0.15">
      <c r="A6" s="39">
        <v>5</v>
      </c>
      <c r="B6" s="40" t="s">
        <v>93</v>
      </c>
      <c r="C6" s="40" t="s">
        <v>411</v>
      </c>
      <c r="D6" s="9" t="s">
        <v>94</v>
      </c>
      <c r="E6" s="9" t="s">
        <v>565</v>
      </c>
      <c r="F6" s="6" t="s">
        <v>371</v>
      </c>
      <c r="G6" s="40" t="s">
        <v>443</v>
      </c>
      <c r="H6" s="40" t="s">
        <v>600</v>
      </c>
      <c r="I6" s="9" t="s">
        <v>444</v>
      </c>
    </row>
    <row r="7" spans="1:9" x14ac:dyDescent="0.15">
      <c r="A7" s="39">
        <v>6</v>
      </c>
      <c r="B7" s="40" t="s">
        <v>95</v>
      </c>
      <c r="C7" s="40" t="s">
        <v>412</v>
      </c>
      <c r="D7" s="9" t="s">
        <v>96</v>
      </c>
      <c r="E7" s="9" t="s">
        <v>566</v>
      </c>
      <c r="F7" s="6" t="s">
        <v>372</v>
      </c>
      <c r="G7" s="40" t="s">
        <v>445</v>
      </c>
      <c r="H7" s="40" t="s">
        <v>605</v>
      </c>
      <c r="I7" s="9" t="s">
        <v>446</v>
      </c>
    </row>
    <row r="8" spans="1:9" x14ac:dyDescent="0.15">
      <c r="A8" s="39">
        <v>7</v>
      </c>
      <c r="B8" s="40" t="s">
        <v>97</v>
      </c>
      <c r="C8" s="40" t="s">
        <v>413</v>
      </c>
      <c r="D8" s="9" t="s">
        <v>98</v>
      </c>
      <c r="E8" s="9" t="s">
        <v>567</v>
      </c>
      <c r="F8" s="35" t="s">
        <v>373</v>
      </c>
      <c r="G8" s="40" t="s">
        <v>447</v>
      </c>
      <c r="H8" s="40" t="s">
        <v>606</v>
      </c>
      <c r="I8" s="9" t="s">
        <v>448</v>
      </c>
    </row>
    <row r="9" spans="1:9" x14ac:dyDescent="0.15">
      <c r="A9" s="39">
        <v>8</v>
      </c>
      <c r="B9" s="40" t="s">
        <v>99</v>
      </c>
      <c r="C9" s="40" t="s">
        <v>330</v>
      </c>
      <c r="D9" s="9" t="s">
        <v>100</v>
      </c>
      <c r="E9" s="9" t="s">
        <v>331</v>
      </c>
      <c r="F9" s="6" t="s">
        <v>351</v>
      </c>
      <c r="G9" s="40" t="s">
        <v>450</v>
      </c>
      <c r="H9" s="40" t="s">
        <v>449</v>
      </c>
      <c r="I9" s="9" t="s">
        <v>451</v>
      </c>
    </row>
    <row r="10" spans="1:9" x14ac:dyDescent="0.15">
      <c r="A10" s="39">
        <v>9</v>
      </c>
      <c r="B10" s="40" t="s">
        <v>414</v>
      </c>
      <c r="C10" s="40" t="s">
        <v>415</v>
      </c>
      <c r="D10" s="9" t="s">
        <v>279</v>
      </c>
      <c r="E10" s="9" t="s">
        <v>568</v>
      </c>
      <c r="F10" s="6" t="s">
        <v>278</v>
      </c>
      <c r="G10" s="40" t="s">
        <v>453</v>
      </c>
      <c r="H10" s="40" t="s">
        <v>452</v>
      </c>
      <c r="I10" s="9" t="s">
        <v>454</v>
      </c>
    </row>
    <row r="11" spans="1:9" x14ac:dyDescent="0.15">
      <c r="A11" s="39">
        <v>10</v>
      </c>
      <c r="B11" s="40" t="s">
        <v>103</v>
      </c>
      <c r="C11" s="40" t="s">
        <v>103</v>
      </c>
      <c r="D11" s="9" t="s">
        <v>104</v>
      </c>
      <c r="E11" s="9" t="s">
        <v>569</v>
      </c>
      <c r="F11" s="6" t="s">
        <v>352</v>
      </c>
      <c r="G11" s="40" t="s">
        <v>456</v>
      </c>
      <c r="H11" s="40" t="s">
        <v>455</v>
      </c>
      <c r="I11" s="40" t="s">
        <v>457</v>
      </c>
    </row>
    <row r="12" spans="1:9" x14ac:dyDescent="0.15">
      <c r="A12" s="39">
        <v>11</v>
      </c>
      <c r="B12" s="40" t="s">
        <v>416</v>
      </c>
      <c r="C12" s="40" t="s">
        <v>417</v>
      </c>
      <c r="D12" s="9" t="s">
        <v>346</v>
      </c>
      <c r="E12" s="9" t="s">
        <v>570</v>
      </c>
      <c r="F12" s="6" t="s">
        <v>369</v>
      </c>
      <c r="G12" s="40" t="s">
        <v>458</v>
      </c>
      <c r="H12" s="40" t="s">
        <v>598</v>
      </c>
      <c r="I12" s="9" t="s">
        <v>459</v>
      </c>
    </row>
    <row r="13" spans="1:9" x14ac:dyDescent="0.15">
      <c r="A13" s="39">
        <v>12</v>
      </c>
      <c r="B13" s="40" t="s">
        <v>107</v>
      </c>
      <c r="C13" s="40" t="s">
        <v>107</v>
      </c>
      <c r="D13" s="9" t="s">
        <v>347</v>
      </c>
      <c r="E13" s="9" t="s">
        <v>571</v>
      </c>
      <c r="F13" s="6" t="s">
        <v>250</v>
      </c>
      <c r="G13" s="40" t="s">
        <v>461</v>
      </c>
      <c r="H13" s="40" t="s">
        <v>460</v>
      </c>
      <c r="I13" s="9" t="s">
        <v>462</v>
      </c>
    </row>
    <row r="14" spans="1:9" x14ac:dyDescent="0.15">
      <c r="A14" s="39">
        <v>13</v>
      </c>
      <c r="B14" s="40" t="s">
        <v>112</v>
      </c>
      <c r="C14" s="40" t="s">
        <v>112</v>
      </c>
      <c r="D14" s="9" t="s">
        <v>113</v>
      </c>
      <c r="E14" s="9" t="s">
        <v>572</v>
      </c>
      <c r="F14" s="6" t="s">
        <v>353</v>
      </c>
      <c r="G14" s="40" t="s">
        <v>464</v>
      </c>
      <c r="H14" s="40" t="s">
        <v>463</v>
      </c>
      <c r="I14" s="9" t="s">
        <v>465</v>
      </c>
    </row>
    <row r="15" spans="1:9" x14ac:dyDescent="0.15">
      <c r="A15" s="39">
        <v>14</v>
      </c>
      <c r="B15" s="40" t="s">
        <v>105</v>
      </c>
      <c r="C15" s="40" t="s">
        <v>418</v>
      </c>
      <c r="D15" s="9" t="s">
        <v>498</v>
      </c>
      <c r="E15" s="9" t="s">
        <v>573</v>
      </c>
      <c r="F15" s="6" t="s">
        <v>354</v>
      </c>
      <c r="G15" s="40" t="s">
        <v>467</v>
      </c>
      <c r="H15" s="40" t="s">
        <v>466</v>
      </c>
      <c r="I15" s="9" t="s">
        <v>468</v>
      </c>
    </row>
    <row r="16" spans="1:9" x14ac:dyDescent="0.15">
      <c r="A16" s="39">
        <v>15</v>
      </c>
      <c r="B16" s="40" t="s">
        <v>101</v>
      </c>
      <c r="C16" s="40" t="s">
        <v>419</v>
      </c>
      <c r="D16" s="9" t="s">
        <v>102</v>
      </c>
      <c r="E16" s="9" t="s">
        <v>574</v>
      </c>
      <c r="F16" s="6" t="s">
        <v>355</v>
      </c>
      <c r="G16" s="40" t="s">
        <v>470</v>
      </c>
      <c r="H16" s="40" t="s">
        <v>469</v>
      </c>
      <c r="I16" s="9" t="s">
        <v>471</v>
      </c>
    </row>
    <row r="17" spans="1:9" x14ac:dyDescent="0.15">
      <c r="A17" s="39">
        <v>16</v>
      </c>
      <c r="B17" s="40" t="s">
        <v>420</v>
      </c>
      <c r="C17" s="40" t="s">
        <v>420</v>
      </c>
      <c r="D17" s="9" t="s">
        <v>245</v>
      </c>
      <c r="E17" s="9" t="s">
        <v>575</v>
      </c>
      <c r="F17" s="6" t="s">
        <v>364</v>
      </c>
      <c r="G17" s="40" t="s">
        <v>472</v>
      </c>
      <c r="H17" s="40" t="s">
        <v>607</v>
      </c>
      <c r="I17" s="9" t="s">
        <v>473</v>
      </c>
    </row>
    <row r="18" spans="1:9" x14ac:dyDescent="0.15">
      <c r="A18" s="39">
        <v>17</v>
      </c>
      <c r="B18" s="40" t="s">
        <v>114</v>
      </c>
      <c r="C18" s="40" t="s">
        <v>421</v>
      </c>
      <c r="D18" s="9" t="s">
        <v>115</v>
      </c>
      <c r="E18" s="9" t="s">
        <v>576</v>
      </c>
      <c r="F18" s="6" t="s">
        <v>356</v>
      </c>
      <c r="G18" s="40" t="s">
        <v>475</v>
      </c>
      <c r="H18" s="40" t="s">
        <v>474</v>
      </c>
      <c r="I18" s="9" t="s">
        <v>476</v>
      </c>
    </row>
    <row r="19" spans="1:9" x14ac:dyDescent="0.15">
      <c r="A19" s="39">
        <v>18</v>
      </c>
      <c r="B19" s="40" t="s">
        <v>422</v>
      </c>
      <c r="C19" s="40" t="s">
        <v>423</v>
      </c>
      <c r="D19" s="9" t="s">
        <v>243</v>
      </c>
      <c r="E19" s="9" t="s">
        <v>577</v>
      </c>
      <c r="F19" s="6" t="s">
        <v>357</v>
      </c>
      <c r="G19" s="40" t="s">
        <v>478</v>
      </c>
      <c r="H19" s="40" t="s">
        <v>477</v>
      </c>
      <c r="I19" s="9" t="s">
        <v>479</v>
      </c>
    </row>
    <row r="20" spans="1:9" x14ac:dyDescent="0.15">
      <c r="A20" s="39">
        <v>19</v>
      </c>
      <c r="B20" s="40" t="s">
        <v>424</v>
      </c>
      <c r="C20" s="40" t="s">
        <v>424</v>
      </c>
      <c r="D20" s="9" t="s">
        <v>260</v>
      </c>
      <c r="E20" s="9" t="s">
        <v>578</v>
      </c>
      <c r="F20" s="6" t="s">
        <v>358</v>
      </c>
      <c r="G20" s="40" t="s">
        <v>481</v>
      </c>
      <c r="H20" s="40" t="s">
        <v>480</v>
      </c>
      <c r="I20" s="9" t="s">
        <v>482</v>
      </c>
    </row>
    <row r="21" spans="1:9" x14ac:dyDescent="0.15">
      <c r="A21" s="39">
        <v>20</v>
      </c>
      <c r="B21" s="40" t="s">
        <v>116</v>
      </c>
      <c r="C21" s="40" t="s">
        <v>425</v>
      </c>
      <c r="D21" s="9" t="s">
        <v>117</v>
      </c>
      <c r="E21" s="9" t="s">
        <v>579</v>
      </c>
      <c r="F21" s="6" t="s">
        <v>370</v>
      </c>
      <c r="G21" s="40" t="s">
        <v>483</v>
      </c>
      <c r="H21" s="40" t="s">
        <v>616</v>
      </c>
      <c r="I21" s="9" t="s">
        <v>484</v>
      </c>
    </row>
    <row r="22" spans="1:9" x14ac:dyDescent="0.15">
      <c r="A22" s="39">
        <v>21</v>
      </c>
      <c r="B22" s="40" t="s">
        <v>108</v>
      </c>
      <c r="C22" s="40" t="s">
        <v>108</v>
      </c>
      <c r="D22" s="9" t="s">
        <v>109</v>
      </c>
      <c r="E22" s="9" t="s">
        <v>580</v>
      </c>
      <c r="F22" s="6" t="s">
        <v>359</v>
      </c>
      <c r="G22" s="40" t="s">
        <v>486</v>
      </c>
      <c r="H22" s="40" t="s">
        <v>485</v>
      </c>
      <c r="I22" s="9" t="s">
        <v>487</v>
      </c>
    </row>
    <row r="23" spans="1:9" x14ac:dyDescent="0.15">
      <c r="A23" s="39">
        <v>22</v>
      </c>
      <c r="B23" s="40" t="s">
        <v>426</v>
      </c>
      <c r="C23" s="40" t="s">
        <v>427</v>
      </c>
      <c r="D23" s="9" t="s">
        <v>111</v>
      </c>
      <c r="E23" s="9" t="s">
        <v>581</v>
      </c>
      <c r="F23" s="6" t="s">
        <v>251</v>
      </c>
      <c r="G23" s="40" t="s">
        <v>489</v>
      </c>
      <c r="H23" s="40" t="s">
        <v>488</v>
      </c>
      <c r="I23" s="9" t="s">
        <v>490</v>
      </c>
    </row>
    <row r="24" spans="1:9" x14ac:dyDescent="0.15">
      <c r="A24" s="39">
        <v>23</v>
      </c>
      <c r="B24" s="40" t="s">
        <v>428</v>
      </c>
      <c r="C24" s="40" t="s">
        <v>429</v>
      </c>
      <c r="D24" s="9" t="s">
        <v>328</v>
      </c>
      <c r="E24" s="9" t="s">
        <v>582</v>
      </c>
      <c r="F24" s="6" t="s">
        <v>360</v>
      </c>
      <c r="G24" s="40" t="s">
        <v>492</v>
      </c>
      <c r="H24" s="40" t="s">
        <v>491</v>
      </c>
      <c r="I24" s="9" t="s">
        <v>493</v>
      </c>
    </row>
    <row r="25" spans="1:9" x14ac:dyDescent="0.15">
      <c r="A25" s="39">
        <v>24</v>
      </c>
      <c r="B25" s="40" t="s">
        <v>430</v>
      </c>
      <c r="C25" s="40" t="s">
        <v>431</v>
      </c>
      <c r="D25" s="26" t="s">
        <v>110</v>
      </c>
      <c r="E25" s="9" t="s">
        <v>583</v>
      </c>
      <c r="F25" s="6" t="s">
        <v>361</v>
      </c>
      <c r="G25" s="40" t="s">
        <v>495</v>
      </c>
      <c r="H25" s="40" t="s">
        <v>494</v>
      </c>
      <c r="I25" s="9" t="s">
        <v>496</v>
      </c>
    </row>
    <row r="26" spans="1:9" x14ac:dyDescent="0.2">
      <c r="A26" s="41">
        <v>1</v>
      </c>
      <c r="B26" s="42" t="s">
        <v>118</v>
      </c>
      <c r="C26" s="42" t="s">
        <v>118</v>
      </c>
      <c r="D26" s="9" t="s">
        <v>119</v>
      </c>
      <c r="E26" s="9" t="s">
        <v>584</v>
      </c>
      <c r="F26" s="6" t="s">
        <v>374</v>
      </c>
      <c r="G26" s="43" t="s">
        <v>522</v>
      </c>
      <c r="H26" s="43" t="s">
        <v>601</v>
      </c>
      <c r="I26" s="6" t="s">
        <v>523</v>
      </c>
    </row>
    <row r="27" spans="1:9" x14ac:dyDescent="0.2">
      <c r="A27" s="41">
        <v>2</v>
      </c>
      <c r="B27" s="42" t="s">
        <v>120</v>
      </c>
      <c r="C27" s="42" t="s">
        <v>500</v>
      </c>
      <c r="D27" s="9" t="s">
        <v>121</v>
      </c>
      <c r="E27" s="9" t="s">
        <v>585</v>
      </c>
      <c r="F27" s="6" t="s">
        <v>252</v>
      </c>
      <c r="G27" s="43" t="s">
        <v>525</v>
      </c>
      <c r="H27" s="43" t="s">
        <v>524</v>
      </c>
      <c r="I27" s="6" t="s">
        <v>526</v>
      </c>
    </row>
    <row r="28" spans="1:9" x14ac:dyDescent="0.2">
      <c r="A28" s="41">
        <v>3</v>
      </c>
      <c r="B28" s="42" t="s">
        <v>122</v>
      </c>
      <c r="C28" s="42" t="s">
        <v>501</v>
      </c>
      <c r="D28" s="9" t="s">
        <v>123</v>
      </c>
      <c r="E28" s="9" t="s">
        <v>586</v>
      </c>
      <c r="F28" s="6" t="s">
        <v>253</v>
      </c>
      <c r="G28" s="43" t="s">
        <v>528</v>
      </c>
      <c r="H28" s="43" t="s">
        <v>527</v>
      </c>
      <c r="I28" s="6" t="s">
        <v>529</v>
      </c>
    </row>
    <row r="29" spans="1:9" x14ac:dyDescent="0.2">
      <c r="A29" s="41">
        <v>4</v>
      </c>
      <c r="B29" s="42" t="s">
        <v>124</v>
      </c>
      <c r="C29" s="42" t="s">
        <v>502</v>
      </c>
      <c r="D29" s="9" t="s">
        <v>618</v>
      </c>
      <c r="E29" s="9" t="s">
        <v>619</v>
      </c>
      <c r="F29" s="6" t="s">
        <v>362</v>
      </c>
      <c r="G29" s="43" t="s">
        <v>531</v>
      </c>
      <c r="H29" s="43" t="s">
        <v>530</v>
      </c>
      <c r="I29" s="6" t="s">
        <v>532</v>
      </c>
    </row>
    <row r="30" spans="1:9" x14ac:dyDescent="0.2">
      <c r="A30" s="41">
        <v>5</v>
      </c>
      <c r="B30" s="42" t="s">
        <v>503</v>
      </c>
      <c r="C30" s="42" t="s">
        <v>504</v>
      </c>
      <c r="D30" s="9" t="s">
        <v>126</v>
      </c>
      <c r="E30" s="9" t="s">
        <v>587</v>
      </c>
      <c r="F30" s="35" t="s">
        <v>363</v>
      </c>
      <c r="G30" s="43" t="s">
        <v>533</v>
      </c>
      <c r="H30" s="43" t="s">
        <v>608</v>
      </c>
      <c r="I30" s="6" t="s">
        <v>534</v>
      </c>
    </row>
    <row r="31" spans="1:9" x14ac:dyDescent="0.2">
      <c r="A31" s="41">
        <v>6</v>
      </c>
      <c r="B31" s="42" t="s">
        <v>127</v>
      </c>
      <c r="C31" s="42" t="s">
        <v>505</v>
      </c>
      <c r="D31" s="9" t="s">
        <v>128</v>
      </c>
      <c r="E31" s="9" t="s">
        <v>588</v>
      </c>
      <c r="F31" s="6" t="s">
        <v>254</v>
      </c>
      <c r="G31" s="43" t="s">
        <v>536</v>
      </c>
      <c r="H31" s="43" t="s">
        <v>535</v>
      </c>
      <c r="I31" s="6" t="s">
        <v>537</v>
      </c>
    </row>
    <row r="32" spans="1:9" x14ac:dyDescent="0.2">
      <c r="A32" s="41">
        <v>7</v>
      </c>
      <c r="B32" s="42" t="s">
        <v>506</v>
      </c>
      <c r="C32" s="42" t="s">
        <v>507</v>
      </c>
      <c r="D32" s="9" t="s">
        <v>129</v>
      </c>
      <c r="E32" s="9" t="s">
        <v>507</v>
      </c>
      <c r="F32" s="6" t="s">
        <v>375</v>
      </c>
      <c r="G32" s="43" t="s">
        <v>538</v>
      </c>
      <c r="H32" s="43" t="s">
        <v>609</v>
      </c>
      <c r="I32" s="6" t="s">
        <v>539</v>
      </c>
    </row>
    <row r="33" spans="1:9" x14ac:dyDescent="0.2">
      <c r="A33" s="41">
        <v>8</v>
      </c>
      <c r="B33" s="42" t="s">
        <v>130</v>
      </c>
      <c r="C33" s="42" t="s">
        <v>130</v>
      </c>
      <c r="D33" s="9" t="s">
        <v>131</v>
      </c>
      <c r="E33" s="9" t="s">
        <v>589</v>
      </c>
      <c r="F33" s="6" t="s">
        <v>376</v>
      </c>
      <c r="G33" s="43" t="s">
        <v>541</v>
      </c>
      <c r="H33" s="43" t="s">
        <v>540</v>
      </c>
      <c r="I33" s="6" t="s">
        <v>542</v>
      </c>
    </row>
    <row r="34" spans="1:9" x14ac:dyDescent="0.2">
      <c r="A34" s="41">
        <v>9</v>
      </c>
      <c r="B34" s="42" t="s">
        <v>508</v>
      </c>
      <c r="C34" s="42" t="s">
        <v>509</v>
      </c>
      <c r="D34" s="9" t="s">
        <v>235</v>
      </c>
      <c r="E34" s="9" t="s">
        <v>590</v>
      </c>
      <c r="F34" s="6" t="s">
        <v>255</v>
      </c>
      <c r="G34" s="43" t="s">
        <v>544</v>
      </c>
      <c r="H34" s="43" t="s">
        <v>543</v>
      </c>
      <c r="I34" s="6" t="s">
        <v>545</v>
      </c>
    </row>
    <row r="35" spans="1:9" x14ac:dyDescent="0.2">
      <c r="A35" s="41">
        <v>10</v>
      </c>
      <c r="B35" s="42" t="s">
        <v>510</v>
      </c>
      <c r="C35" s="42" t="s">
        <v>511</v>
      </c>
      <c r="D35" s="9" t="s">
        <v>264</v>
      </c>
      <c r="E35" s="9" t="s">
        <v>595</v>
      </c>
      <c r="F35" s="9" t="s">
        <v>377</v>
      </c>
      <c r="G35" s="43" t="s">
        <v>546</v>
      </c>
      <c r="H35" s="43" t="s">
        <v>610</v>
      </c>
      <c r="I35" s="6" t="s">
        <v>547</v>
      </c>
    </row>
    <row r="36" spans="1:9" x14ac:dyDescent="0.2">
      <c r="A36" s="41">
        <v>11</v>
      </c>
      <c r="B36" s="42" t="s">
        <v>512</v>
      </c>
      <c r="C36" s="42" t="s">
        <v>513</v>
      </c>
      <c r="D36" s="9" t="s">
        <v>265</v>
      </c>
      <c r="E36" s="9" t="s">
        <v>596</v>
      </c>
      <c r="F36" s="9" t="s">
        <v>378</v>
      </c>
      <c r="G36" s="43" t="s">
        <v>548</v>
      </c>
      <c r="H36" s="43" t="s">
        <v>611</v>
      </c>
      <c r="I36" s="6" t="s">
        <v>549</v>
      </c>
    </row>
    <row r="37" spans="1:9" x14ac:dyDescent="0.2">
      <c r="A37" s="41">
        <v>12</v>
      </c>
      <c r="B37" s="42" t="s">
        <v>514</v>
      </c>
      <c r="C37" s="42" t="s">
        <v>515</v>
      </c>
      <c r="D37" s="9" t="s">
        <v>266</v>
      </c>
      <c r="E37" s="9" t="s">
        <v>597</v>
      </c>
      <c r="F37" s="9" t="s">
        <v>379</v>
      </c>
      <c r="G37" s="43" t="s">
        <v>550</v>
      </c>
      <c r="H37" s="43" t="s">
        <v>612</v>
      </c>
      <c r="I37" s="6" t="s">
        <v>551</v>
      </c>
    </row>
    <row r="38" spans="1:9" x14ac:dyDescent="0.2">
      <c r="A38" s="41">
        <v>13</v>
      </c>
      <c r="B38" s="42" t="s">
        <v>132</v>
      </c>
      <c r="C38" s="42" t="s">
        <v>516</v>
      </c>
      <c r="D38" s="9" t="s">
        <v>133</v>
      </c>
      <c r="E38" s="9" t="s">
        <v>591</v>
      </c>
      <c r="F38" s="35" t="s">
        <v>653</v>
      </c>
      <c r="G38" s="43" t="s">
        <v>552</v>
      </c>
      <c r="H38" s="43" t="s">
        <v>613</v>
      </c>
      <c r="I38" s="6" t="s">
        <v>553</v>
      </c>
    </row>
    <row r="39" spans="1:9" x14ac:dyDescent="0.2">
      <c r="A39" s="41">
        <v>14</v>
      </c>
      <c r="B39" s="42" t="s">
        <v>517</v>
      </c>
      <c r="C39" s="42" t="s">
        <v>518</v>
      </c>
      <c r="D39" s="9" t="s">
        <v>499</v>
      </c>
      <c r="E39" s="9" t="s">
        <v>617</v>
      </c>
      <c r="F39" s="6" t="s">
        <v>381</v>
      </c>
      <c r="G39" s="43" t="s">
        <v>554</v>
      </c>
      <c r="H39" s="43" t="s">
        <v>614</v>
      </c>
      <c r="I39" s="6" t="s">
        <v>555</v>
      </c>
    </row>
    <row r="40" spans="1:9" x14ac:dyDescent="0.2">
      <c r="A40" s="41">
        <v>15</v>
      </c>
      <c r="B40" s="42" t="s">
        <v>519</v>
      </c>
      <c r="C40" s="42" t="s">
        <v>520</v>
      </c>
      <c r="D40" s="26" t="s">
        <v>268</v>
      </c>
      <c r="E40" s="9" t="s">
        <v>592</v>
      </c>
      <c r="F40" s="6" t="s">
        <v>380</v>
      </c>
      <c r="G40" s="43" t="s">
        <v>557</v>
      </c>
      <c r="H40" s="43" t="s">
        <v>556</v>
      </c>
      <c r="I40" s="6" t="s">
        <v>558</v>
      </c>
    </row>
    <row r="41" spans="1:9" x14ac:dyDescent="0.2">
      <c r="A41" s="41">
        <v>16</v>
      </c>
      <c r="B41" s="42" t="s">
        <v>134</v>
      </c>
      <c r="C41" s="42" t="s">
        <v>521</v>
      </c>
      <c r="D41" s="26" t="s">
        <v>135</v>
      </c>
      <c r="E41" s="9" t="s">
        <v>593</v>
      </c>
      <c r="F41" s="6" t="s">
        <v>382</v>
      </c>
      <c r="G41" s="43" t="s">
        <v>559</v>
      </c>
      <c r="H41" s="43" t="s">
        <v>602</v>
      </c>
      <c r="I41" s="6" t="s">
        <v>560</v>
      </c>
    </row>
  </sheetData>
  <phoneticPr fontId="5"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AA03DC-CA24-4B3C-A5CB-F556F2BBE998}">
  <dimension ref="A2:I83"/>
  <sheetViews>
    <sheetView topLeftCell="E40" zoomScale="85" zoomScaleNormal="85" workbookViewId="0">
      <selection activeCell="F51" sqref="F51"/>
    </sheetView>
  </sheetViews>
  <sheetFormatPr defaultRowHeight="30" customHeight="1" x14ac:dyDescent="0.15"/>
  <cols>
    <col min="1" max="1" width="6" style="8" customWidth="1"/>
    <col min="2" max="2" width="14.625" style="9" customWidth="1"/>
    <col min="3" max="5" width="17.25" style="9" customWidth="1"/>
    <col min="6" max="6" width="74.875" style="8" customWidth="1"/>
    <col min="7" max="7" width="74.875" style="9" customWidth="1"/>
    <col min="8" max="8" width="61.625" style="9" customWidth="1"/>
    <col min="9" max="9" width="74.875" style="9" customWidth="1"/>
    <col min="10" max="16384" width="9" style="8"/>
  </cols>
  <sheetData>
    <row r="2" spans="1:9" s="7" customFormat="1" ht="30" customHeight="1" x14ac:dyDescent="0.15">
      <c r="A2" s="36" t="s">
        <v>404</v>
      </c>
      <c r="B2" s="36" t="s">
        <v>405</v>
      </c>
      <c r="C2" s="36" t="s">
        <v>406</v>
      </c>
      <c r="D2" s="7" t="s">
        <v>497</v>
      </c>
      <c r="E2" s="7" t="s">
        <v>594</v>
      </c>
      <c r="F2" s="7" t="s">
        <v>258</v>
      </c>
      <c r="G2" s="37" t="s">
        <v>433</v>
      </c>
      <c r="H2" s="37" t="s">
        <v>432</v>
      </c>
      <c r="I2" s="38" t="s">
        <v>434</v>
      </c>
    </row>
    <row r="3" spans="1:9" ht="30" customHeight="1" x14ac:dyDescent="0.15">
      <c r="A3" s="39">
        <v>1</v>
      </c>
      <c r="B3" s="40" t="s">
        <v>87</v>
      </c>
      <c r="C3" s="40" t="s">
        <v>87</v>
      </c>
      <c r="D3" s="9" t="s">
        <v>88</v>
      </c>
      <c r="E3" s="9" t="s">
        <v>561</v>
      </c>
      <c r="F3" s="6" t="s">
        <v>641</v>
      </c>
      <c r="G3" s="44" t="s">
        <v>657</v>
      </c>
      <c r="H3" s="44" t="s">
        <v>698</v>
      </c>
      <c r="I3" s="6" t="s">
        <v>669</v>
      </c>
    </row>
    <row r="4" spans="1:9" ht="30" customHeight="1" x14ac:dyDescent="0.15">
      <c r="A4" s="39">
        <v>2</v>
      </c>
      <c r="B4" s="40" t="s">
        <v>89</v>
      </c>
      <c r="C4" s="40" t="s">
        <v>407</v>
      </c>
      <c r="D4" s="9" t="s">
        <v>90</v>
      </c>
      <c r="E4" s="9" t="s">
        <v>562</v>
      </c>
      <c r="F4" s="6" t="s">
        <v>642</v>
      </c>
      <c r="G4" s="44" t="s">
        <v>658</v>
      </c>
      <c r="H4" s="44" t="s">
        <v>696</v>
      </c>
      <c r="I4" s="6" t="s">
        <v>670</v>
      </c>
    </row>
    <row r="5" spans="1:9" ht="30" customHeight="1" x14ac:dyDescent="0.15">
      <c r="A5" s="39">
        <v>3</v>
      </c>
      <c r="B5" s="40" t="s">
        <v>408</v>
      </c>
      <c r="C5" s="40" t="s">
        <v>409</v>
      </c>
      <c r="D5" s="9" t="s">
        <v>277</v>
      </c>
      <c r="E5" s="9" t="s">
        <v>563</v>
      </c>
      <c r="F5" s="6" t="s">
        <v>643</v>
      </c>
      <c r="G5" s="44" t="s">
        <v>659</v>
      </c>
      <c r="H5" s="44" t="s">
        <v>692</v>
      </c>
      <c r="I5" s="6" t="s">
        <v>671</v>
      </c>
    </row>
    <row r="6" spans="1:9" ht="30" customHeight="1" x14ac:dyDescent="0.15">
      <c r="A6" s="39">
        <v>4</v>
      </c>
      <c r="B6" s="40" t="s">
        <v>91</v>
      </c>
      <c r="C6" s="40" t="s">
        <v>410</v>
      </c>
      <c r="D6" s="9" t="s">
        <v>92</v>
      </c>
      <c r="E6" s="9" t="s">
        <v>564</v>
      </c>
      <c r="F6" s="35" t="s">
        <v>644</v>
      </c>
      <c r="G6" s="44" t="s">
        <v>660</v>
      </c>
      <c r="H6" s="44" t="s">
        <v>890</v>
      </c>
      <c r="I6" s="6" t="s">
        <v>672</v>
      </c>
    </row>
    <row r="7" spans="1:9" ht="30" customHeight="1" x14ac:dyDescent="0.15">
      <c r="A7" s="39">
        <v>5</v>
      </c>
      <c r="B7" s="40" t="s">
        <v>93</v>
      </c>
      <c r="C7" s="40" t="s">
        <v>411</v>
      </c>
      <c r="D7" s="9" t="s">
        <v>94</v>
      </c>
      <c r="E7" s="9" t="s">
        <v>565</v>
      </c>
      <c r="F7" s="6" t="s">
        <v>645</v>
      </c>
      <c r="G7" s="44" t="s">
        <v>661</v>
      </c>
      <c r="H7" s="44" t="s">
        <v>700</v>
      </c>
      <c r="I7" s="6" t="s">
        <v>673</v>
      </c>
    </row>
    <row r="8" spans="1:9" ht="30" customHeight="1" x14ac:dyDescent="0.15">
      <c r="A8" s="39">
        <v>6</v>
      </c>
      <c r="B8" s="40" t="s">
        <v>95</v>
      </c>
      <c r="C8" s="40" t="s">
        <v>412</v>
      </c>
      <c r="D8" s="9" t="s">
        <v>96</v>
      </c>
      <c r="E8" s="9" t="s">
        <v>566</v>
      </c>
      <c r="F8" s="6" t="s">
        <v>646</v>
      </c>
      <c r="G8" s="44" t="s">
        <v>662</v>
      </c>
      <c r="H8" s="44" t="s">
        <v>701</v>
      </c>
      <c r="I8" s="6" t="s">
        <v>674</v>
      </c>
    </row>
    <row r="9" spans="1:9" ht="30" customHeight="1" x14ac:dyDescent="0.15">
      <c r="A9" s="39">
        <v>7</v>
      </c>
      <c r="B9" s="40" t="s">
        <v>97</v>
      </c>
      <c r="C9" s="40" t="s">
        <v>413</v>
      </c>
      <c r="D9" s="9" t="s">
        <v>98</v>
      </c>
      <c r="E9" s="9" t="s">
        <v>567</v>
      </c>
      <c r="F9" s="35" t="s">
        <v>647</v>
      </c>
      <c r="G9" s="44" t="s">
        <v>663</v>
      </c>
      <c r="H9" s="44" t="s">
        <v>702</v>
      </c>
      <c r="I9" s="6" t="s">
        <v>675</v>
      </c>
    </row>
    <row r="10" spans="1:9" ht="30" customHeight="1" x14ac:dyDescent="0.15">
      <c r="A10" s="39">
        <v>8</v>
      </c>
      <c r="B10" s="40" t="s">
        <v>99</v>
      </c>
      <c r="C10" s="40" t="s">
        <v>330</v>
      </c>
      <c r="D10" s="9" t="s">
        <v>100</v>
      </c>
      <c r="E10" s="9" t="s">
        <v>331</v>
      </c>
      <c r="F10" s="6" t="s">
        <v>351</v>
      </c>
      <c r="G10" s="44" t="s">
        <v>450</v>
      </c>
      <c r="H10" s="44" t="s">
        <v>449</v>
      </c>
      <c r="I10" s="6" t="s">
        <v>451</v>
      </c>
    </row>
    <row r="11" spans="1:9" ht="30" customHeight="1" x14ac:dyDescent="0.15">
      <c r="A11" s="39">
        <v>9</v>
      </c>
      <c r="B11" s="40" t="s">
        <v>414</v>
      </c>
      <c r="C11" s="40" t="s">
        <v>415</v>
      </c>
      <c r="D11" s="9" t="s">
        <v>279</v>
      </c>
      <c r="E11" s="9" t="s">
        <v>568</v>
      </c>
      <c r="F11" s="6" t="s">
        <v>278</v>
      </c>
      <c r="G11" s="44" t="s">
        <v>453</v>
      </c>
      <c r="H11" s="44" t="s">
        <v>452</v>
      </c>
      <c r="I11" s="6" t="s">
        <v>454</v>
      </c>
    </row>
    <row r="12" spans="1:9" ht="30" customHeight="1" x14ac:dyDescent="0.15">
      <c r="A12" s="39">
        <v>10</v>
      </c>
      <c r="B12" s="40" t="s">
        <v>103</v>
      </c>
      <c r="C12" s="40" t="s">
        <v>103</v>
      </c>
      <c r="D12" s="9" t="s">
        <v>104</v>
      </c>
      <c r="E12" s="9" t="s">
        <v>569</v>
      </c>
      <c r="F12" s="6" t="s">
        <v>656</v>
      </c>
      <c r="G12" s="44" t="s">
        <v>664</v>
      </c>
      <c r="H12" s="44" t="s">
        <v>668</v>
      </c>
      <c r="I12" s="6" t="s">
        <v>676</v>
      </c>
    </row>
    <row r="13" spans="1:9" ht="30" customHeight="1" x14ac:dyDescent="0.15">
      <c r="A13" s="39">
        <v>11</v>
      </c>
      <c r="B13" s="40" t="s">
        <v>416</v>
      </c>
      <c r="C13" s="40" t="s">
        <v>417</v>
      </c>
      <c r="D13" s="9" t="s">
        <v>346</v>
      </c>
      <c r="E13" s="9" t="s">
        <v>570</v>
      </c>
      <c r="F13" s="6" t="s">
        <v>648</v>
      </c>
      <c r="G13" s="44" t="s">
        <v>665</v>
      </c>
      <c r="H13" s="44" t="s">
        <v>691</v>
      </c>
      <c r="I13" s="6" t="s">
        <v>677</v>
      </c>
    </row>
    <row r="14" spans="1:9" ht="30" customHeight="1" x14ac:dyDescent="0.15">
      <c r="A14" s="39">
        <v>12</v>
      </c>
      <c r="B14" s="40" t="s">
        <v>107</v>
      </c>
      <c r="C14" s="40" t="s">
        <v>107</v>
      </c>
      <c r="D14" s="9" t="s">
        <v>347</v>
      </c>
      <c r="E14" s="9" t="s">
        <v>571</v>
      </c>
      <c r="F14" s="6" t="s">
        <v>250</v>
      </c>
      <c r="G14" s="44" t="s">
        <v>461</v>
      </c>
      <c r="H14" s="44" t="s">
        <v>460</v>
      </c>
      <c r="I14" s="6" t="s">
        <v>462</v>
      </c>
    </row>
    <row r="15" spans="1:9" ht="30" customHeight="1" x14ac:dyDescent="0.15">
      <c r="A15" s="39">
        <v>13</v>
      </c>
      <c r="B15" s="40" t="s">
        <v>112</v>
      </c>
      <c r="C15" s="40" t="s">
        <v>112</v>
      </c>
      <c r="D15" s="9" t="s">
        <v>113</v>
      </c>
      <c r="E15" s="9" t="s">
        <v>572</v>
      </c>
      <c r="F15" s="6" t="s">
        <v>353</v>
      </c>
      <c r="G15" s="44" t="s">
        <v>464</v>
      </c>
      <c r="H15" s="44" t="s">
        <v>463</v>
      </c>
      <c r="I15" s="6" t="s">
        <v>465</v>
      </c>
    </row>
    <row r="16" spans="1:9" ht="30" customHeight="1" x14ac:dyDescent="0.15">
      <c r="A16" s="39">
        <v>14</v>
      </c>
      <c r="B16" s="40" t="s">
        <v>105</v>
      </c>
      <c r="C16" s="40" t="s">
        <v>418</v>
      </c>
      <c r="D16" s="9" t="s">
        <v>498</v>
      </c>
      <c r="E16" s="9" t="s">
        <v>573</v>
      </c>
      <c r="F16" s="6" t="s">
        <v>354</v>
      </c>
      <c r="G16" s="44" t="s">
        <v>467</v>
      </c>
      <c r="H16" s="44" t="s">
        <v>466</v>
      </c>
      <c r="I16" s="6" t="s">
        <v>468</v>
      </c>
    </row>
    <row r="17" spans="1:9" ht="30" customHeight="1" x14ac:dyDescent="0.15">
      <c r="A17" s="39">
        <v>15</v>
      </c>
      <c r="B17" s="40" t="s">
        <v>101</v>
      </c>
      <c r="C17" s="40" t="s">
        <v>419</v>
      </c>
      <c r="D17" s="9" t="s">
        <v>102</v>
      </c>
      <c r="E17" s="9" t="s">
        <v>574</v>
      </c>
      <c r="F17" s="6" t="s">
        <v>355</v>
      </c>
      <c r="G17" s="44" t="s">
        <v>470</v>
      </c>
      <c r="H17" s="44" t="s">
        <v>469</v>
      </c>
      <c r="I17" s="6" t="s">
        <v>471</v>
      </c>
    </row>
    <row r="18" spans="1:9" ht="30" customHeight="1" x14ac:dyDescent="0.15">
      <c r="A18" s="39">
        <v>16</v>
      </c>
      <c r="B18" s="40" t="s">
        <v>420</v>
      </c>
      <c r="C18" s="40" t="s">
        <v>420</v>
      </c>
      <c r="D18" s="9" t="s">
        <v>245</v>
      </c>
      <c r="E18" s="9" t="s">
        <v>575</v>
      </c>
      <c r="F18" s="6" t="s">
        <v>364</v>
      </c>
      <c r="G18" s="44" t="s">
        <v>472</v>
      </c>
      <c r="H18" s="44" t="s">
        <v>607</v>
      </c>
      <c r="I18" s="6" t="s">
        <v>473</v>
      </c>
    </row>
    <row r="19" spans="1:9" ht="30" customHeight="1" x14ac:dyDescent="0.15">
      <c r="A19" s="39">
        <v>17</v>
      </c>
      <c r="B19" s="40" t="s">
        <v>114</v>
      </c>
      <c r="C19" s="40" t="s">
        <v>421</v>
      </c>
      <c r="D19" s="9" t="s">
        <v>115</v>
      </c>
      <c r="E19" s="9" t="s">
        <v>576</v>
      </c>
      <c r="F19" s="6" t="s">
        <v>356</v>
      </c>
      <c r="G19" s="44" t="s">
        <v>475</v>
      </c>
      <c r="H19" s="44" t="s">
        <v>474</v>
      </c>
      <c r="I19" s="6" t="s">
        <v>476</v>
      </c>
    </row>
    <row r="20" spans="1:9" ht="30" customHeight="1" x14ac:dyDescent="0.15">
      <c r="A20" s="39">
        <v>18</v>
      </c>
      <c r="B20" s="40" t="s">
        <v>422</v>
      </c>
      <c r="C20" s="40" t="s">
        <v>423</v>
      </c>
      <c r="D20" s="9" t="s">
        <v>243</v>
      </c>
      <c r="E20" s="9" t="s">
        <v>577</v>
      </c>
      <c r="F20" s="6" t="s">
        <v>357</v>
      </c>
      <c r="G20" s="44" t="s">
        <v>478</v>
      </c>
      <c r="H20" s="44" t="s">
        <v>477</v>
      </c>
      <c r="I20" s="6" t="s">
        <v>479</v>
      </c>
    </row>
    <row r="21" spans="1:9" ht="30" customHeight="1" x14ac:dyDescent="0.15">
      <c r="A21" s="39">
        <v>19</v>
      </c>
      <c r="B21" s="40" t="s">
        <v>424</v>
      </c>
      <c r="C21" s="40" t="s">
        <v>424</v>
      </c>
      <c r="D21" s="9" t="s">
        <v>260</v>
      </c>
      <c r="E21" s="9" t="s">
        <v>578</v>
      </c>
      <c r="F21" s="6" t="s">
        <v>358</v>
      </c>
      <c r="G21" s="44" t="s">
        <v>481</v>
      </c>
      <c r="H21" s="44" t="s">
        <v>480</v>
      </c>
      <c r="I21" s="6" t="s">
        <v>482</v>
      </c>
    </row>
    <row r="22" spans="1:9" ht="30" customHeight="1" x14ac:dyDescent="0.15">
      <c r="A22" s="39">
        <v>20</v>
      </c>
      <c r="B22" s="40" t="s">
        <v>116</v>
      </c>
      <c r="C22" s="40" t="s">
        <v>425</v>
      </c>
      <c r="D22" s="9" t="s">
        <v>117</v>
      </c>
      <c r="E22" s="9" t="s">
        <v>579</v>
      </c>
      <c r="F22" s="6" t="s">
        <v>649</v>
      </c>
      <c r="G22" s="44" t="s">
        <v>666</v>
      </c>
      <c r="H22" s="44" t="s">
        <v>891</v>
      </c>
      <c r="I22" s="6" t="s">
        <v>678</v>
      </c>
    </row>
    <row r="23" spans="1:9" ht="30" customHeight="1" x14ac:dyDescent="0.15">
      <c r="A23" s="39">
        <v>21</v>
      </c>
      <c r="B23" s="40" t="s">
        <v>108</v>
      </c>
      <c r="C23" s="40" t="s">
        <v>108</v>
      </c>
      <c r="D23" s="9" t="s">
        <v>109</v>
      </c>
      <c r="E23" s="9" t="s">
        <v>580</v>
      </c>
      <c r="F23" s="6" t="s">
        <v>359</v>
      </c>
      <c r="G23" s="44" t="s">
        <v>486</v>
      </c>
      <c r="H23" s="44" t="s">
        <v>485</v>
      </c>
      <c r="I23" s="6" t="s">
        <v>487</v>
      </c>
    </row>
    <row r="24" spans="1:9" ht="30" customHeight="1" x14ac:dyDescent="0.15">
      <c r="A24" s="39">
        <v>22</v>
      </c>
      <c r="B24" s="40" t="s">
        <v>426</v>
      </c>
      <c r="C24" s="40" t="s">
        <v>427</v>
      </c>
      <c r="D24" s="9" t="s">
        <v>111</v>
      </c>
      <c r="E24" s="9" t="s">
        <v>581</v>
      </c>
      <c r="F24" s="6" t="s">
        <v>704</v>
      </c>
      <c r="G24" s="44" t="s">
        <v>489</v>
      </c>
      <c r="H24" s="44" t="s">
        <v>709</v>
      </c>
      <c r="I24" s="6" t="s">
        <v>490</v>
      </c>
    </row>
    <row r="25" spans="1:9" ht="30" customHeight="1" x14ac:dyDescent="0.15">
      <c r="A25" s="39">
        <v>23</v>
      </c>
      <c r="B25" s="40" t="s">
        <v>428</v>
      </c>
      <c r="C25" s="40" t="s">
        <v>429</v>
      </c>
      <c r="D25" s="9" t="s">
        <v>328</v>
      </c>
      <c r="E25" s="9" t="s">
        <v>582</v>
      </c>
      <c r="F25" s="6" t="s">
        <v>360</v>
      </c>
      <c r="G25" s="44" t="s">
        <v>492</v>
      </c>
      <c r="H25" s="44" t="s">
        <v>491</v>
      </c>
      <c r="I25" s="6" t="s">
        <v>493</v>
      </c>
    </row>
    <row r="26" spans="1:9" ht="30" customHeight="1" x14ac:dyDescent="0.15">
      <c r="A26" s="39">
        <v>24</v>
      </c>
      <c r="B26" s="40" t="s">
        <v>430</v>
      </c>
      <c r="C26" s="40" t="s">
        <v>431</v>
      </c>
      <c r="D26" s="26" t="s">
        <v>110</v>
      </c>
      <c r="E26" s="9" t="s">
        <v>583</v>
      </c>
      <c r="F26" s="6" t="s">
        <v>361</v>
      </c>
      <c r="G26" s="44" t="s">
        <v>667</v>
      </c>
      <c r="H26" s="44" t="s">
        <v>494</v>
      </c>
      <c r="I26" s="6" t="s">
        <v>496</v>
      </c>
    </row>
    <row r="27" spans="1:9" ht="30" customHeight="1" x14ac:dyDescent="0.15">
      <c r="A27" s="39">
        <v>1</v>
      </c>
      <c r="B27" s="40" t="s">
        <v>118</v>
      </c>
      <c r="C27" s="40" t="s">
        <v>118</v>
      </c>
      <c r="D27" s="9" t="s">
        <v>119</v>
      </c>
      <c r="E27" s="9" t="s">
        <v>584</v>
      </c>
      <c r="F27" s="6" t="s">
        <v>650</v>
      </c>
      <c r="G27" s="44" t="s">
        <v>679</v>
      </c>
      <c r="H27" s="44" t="s">
        <v>699</v>
      </c>
      <c r="I27" s="6" t="s">
        <v>680</v>
      </c>
    </row>
    <row r="28" spans="1:9" ht="30" customHeight="1" x14ac:dyDescent="0.15">
      <c r="A28" s="39">
        <v>2</v>
      </c>
      <c r="B28" s="40" t="s">
        <v>120</v>
      </c>
      <c r="C28" s="40" t="s">
        <v>500</v>
      </c>
      <c r="D28" s="9" t="s">
        <v>121</v>
      </c>
      <c r="E28" s="9" t="s">
        <v>585</v>
      </c>
      <c r="F28" s="6" t="s">
        <v>252</v>
      </c>
      <c r="G28" s="44" t="s">
        <v>525</v>
      </c>
      <c r="H28" s="44" t="s">
        <v>524</v>
      </c>
      <c r="I28" s="6" t="s">
        <v>526</v>
      </c>
    </row>
    <row r="29" spans="1:9" ht="30" customHeight="1" x14ac:dyDescent="0.15">
      <c r="A29" s="39">
        <v>3</v>
      </c>
      <c r="B29" s="40" t="s">
        <v>122</v>
      </c>
      <c r="C29" s="40" t="s">
        <v>501</v>
      </c>
      <c r="D29" s="9" t="s">
        <v>123</v>
      </c>
      <c r="E29" s="9" t="s">
        <v>586</v>
      </c>
      <c r="F29" s="6" t="s">
        <v>253</v>
      </c>
      <c r="G29" s="44" t="s">
        <v>528</v>
      </c>
      <c r="H29" s="44" t="s">
        <v>527</v>
      </c>
      <c r="I29" s="6" t="s">
        <v>529</v>
      </c>
    </row>
    <row r="30" spans="1:9" ht="30" customHeight="1" x14ac:dyDescent="0.15">
      <c r="A30" s="39">
        <v>4</v>
      </c>
      <c r="B30" s="40" t="s">
        <v>124</v>
      </c>
      <c r="C30" s="40" t="s">
        <v>502</v>
      </c>
      <c r="D30" s="9" t="s">
        <v>618</v>
      </c>
      <c r="E30" s="9" t="s">
        <v>619</v>
      </c>
      <c r="F30" s="6" t="s">
        <v>362</v>
      </c>
      <c r="G30" s="44" t="s">
        <v>531</v>
      </c>
      <c r="H30" s="44" t="s">
        <v>530</v>
      </c>
      <c r="I30" s="6" t="s">
        <v>532</v>
      </c>
    </row>
    <row r="31" spans="1:9" ht="30" customHeight="1" x14ac:dyDescent="0.15">
      <c r="A31" s="39">
        <v>5</v>
      </c>
      <c r="B31" s="40" t="s">
        <v>503</v>
      </c>
      <c r="C31" s="40" t="s">
        <v>504</v>
      </c>
      <c r="D31" s="9" t="s">
        <v>126</v>
      </c>
      <c r="E31" s="9" t="s">
        <v>587</v>
      </c>
      <c r="F31" s="35" t="s">
        <v>363</v>
      </c>
      <c r="G31" s="44" t="s">
        <v>533</v>
      </c>
      <c r="H31" s="44" t="s">
        <v>608</v>
      </c>
      <c r="I31" s="6" t="s">
        <v>534</v>
      </c>
    </row>
    <row r="32" spans="1:9" ht="30" customHeight="1" x14ac:dyDescent="0.15">
      <c r="A32" s="39">
        <v>6</v>
      </c>
      <c r="B32" s="40" t="s">
        <v>127</v>
      </c>
      <c r="C32" s="40" t="s">
        <v>505</v>
      </c>
      <c r="D32" s="9" t="s">
        <v>128</v>
      </c>
      <c r="E32" s="9" t="s">
        <v>588</v>
      </c>
      <c r="F32" s="6" t="s">
        <v>706</v>
      </c>
      <c r="G32" s="44" t="s">
        <v>681</v>
      </c>
      <c r="H32" s="44" t="s">
        <v>707</v>
      </c>
      <c r="I32" s="6" t="s">
        <v>710</v>
      </c>
    </row>
    <row r="33" spans="1:9" ht="30" customHeight="1" x14ac:dyDescent="0.15">
      <c r="A33" s="39">
        <v>7</v>
      </c>
      <c r="B33" s="40" t="s">
        <v>506</v>
      </c>
      <c r="C33" s="40" t="s">
        <v>507</v>
      </c>
      <c r="D33" s="9" t="s">
        <v>129</v>
      </c>
      <c r="E33" s="9" t="s">
        <v>507</v>
      </c>
      <c r="F33" s="6" t="s">
        <v>651</v>
      </c>
      <c r="G33" s="44" t="s">
        <v>682</v>
      </c>
      <c r="H33" s="44" t="s">
        <v>693</v>
      </c>
      <c r="I33" s="6" t="s">
        <v>683</v>
      </c>
    </row>
    <row r="34" spans="1:9" ht="30" customHeight="1" x14ac:dyDescent="0.15">
      <c r="A34" s="39">
        <v>8</v>
      </c>
      <c r="B34" s="40" t="s">
        <v>130</v>
      </c>
      <c r="C34" s="40" t="s">
        <v>130</v>
      </c>
      <c r="D34" s="9" t="s">
        <v>131</v>
      </c>
      <c r="E34" s="9" t="s">
        <v>589</v>
      </c>
      <c r="F34" s="6" t="s">
        <v>705</v>
      </c>
      <c r="G34" s="44" t="s">
        <v>541</v>
      </c>
      <c r="H34" s="44" t="s">
        <v>708</v>
      </c>
      <c r="I34" s="6" t="s">
        <v>542</v>
      </c>
    </row>
    <row r="35" spans="1:9" ht="30" customHeight="1" x14ac:dyDescent="0.15">
      <c r="A35" s="39">
        <v>9</v>
      </c>
      <c r="B35" s="40" t="s">
        <v>508</v>
      </c>
      <c r="C35" s="40" t="s">
        <v>509</v>
      </c>
      <c r="D35" s="9" t="s">
        <v>235</v>
      </c>
      <c r="E35" s="9" t="s">
        <v>590</v>
      </c>
      <c r="F35" s="6" t="s">
        <v>652</v>
      </c>
      <c r="G35" s="44" t="s">
        <v>544</v>
      </c>
      <c r="H35" s="44" t="s">
        <v>543</v>
      </c>
      <c r="I35" s="6" t="s">
        <v>545</v>
      </c>
    </row>
    <row r="36" spans="1:9" ht="30" customHeight="1" x14ac:dyDescent="0.15">
      <c r="A36" s="39">
        <v>10</v>
      </c>
      <c r="B36" s="40" t="s">
        <v>510</v>
      </c>
      <c r="C36" s="40" t="s">
        <v>511</v>
      </c>
      <c r="D36" s="9" t="s">
        <v>264</v>
      </c>
      <c r="E36" s="9" t="s">
        <v>595</v>
      </c>
      <c r="F36" s="9" t="s">
        <v>377</v>
      </c>
      <c r="G36" s="44" t="s">
        <v>546</v>
      </c>
      <c r="H36" s="44" t="s">
        <v>695</v>
      </c>
      <c r="I36" s="6" t="s">
        <v>547</v>
      </c>
    </row>
    <row r="37" spans="1:9" ht="30" customHeight="1" x14ac:dyDescent="0.15">
      <c r="A37" s="39">
        <v>11</v>
      </c>
      <c r="B37" s="40" t="s">
        <v>512</v>
      </c>
      <c r="C37" s="40" t="s">
        <v>513</v>
      </c>
      <c r="D37" s="9" t="s">
        <v>265</v>
      </c>
      <c r="E37" s="9" t="s">
        <v>596</v>
      </c>
      <c r="F37" s="9" t="s">
        <v>378</v>
      </c>
      <c r="G37" s="44" t="s">
        <v>548</v>
      </c>
      <c r="H37" s="44" t="s">
        <v>611</v>
      </c>
      <c r="I37" s="6" t="s">
        <v>549</v>
      </c>
    </row>
    <row r="38" spans="1:9" ht="30" customHeight="1" x14ac:dyDescent="0.15">
      <c r="A38" s="39">
        <v>12</v>
      </c>
      <c r="B38" s="40" t="s">
        <v>514</v>
      </c>
      <c r="C38" s="40" t="s">
        <v>515</v>
      </c>
      <c r="D38" s="9" t="s">
        <v>266</v>
      </c>
      <c r="E38" s="9" t="s">
        <v>597</v>
      </c>
      <c r="F38" s="9" t="s">
        <v>379</v>
      </c>
      <c r="G38" s="44" t="s">
        <v>550</v>
      </c>
      <c r="H38" s="44" t="s">
        <v>612</v>
      </c>
      <c r="I38" s="6" t="s">
        <v>551</v>
      </c>
    </row>
    <row r="39" spans="1:9" ht="30" customHeight="1" x14ac:dyDescent="0.15">
      <c r="A39" s="39">
        <v>13</v>
      </c>
      <c r="B39" s="40" t="s">
        <v>132</v>
      </c>
      <c r="C39" s="40" t="s">
        <v>516</v>
      </c>
      <c r="D39" s="9" t="s">
        <v>133</v>
      </c>
      <c r="E39" s="9" t="s">
        <v>591</v>
      </c>
      <c r="F39" s="35" t="s">
        <v>653</v>
      </c>
      <c r="G39" s="44" t="s">
        <v>684</v>
      </c>
      <c r="H39" s="44" t="s">
        <v>694</v>
      </c>
      <c r="I39" s="6" t="s">
        <v>685</v>
      </c>
    </row>
    <row r="40" spans="1:9" ht="30" customHeight="1" x14ac:dyDescent="0.15">
      <c r="A40" s="39">
        <v>14</v>
      </c>
      <c r="B40" s="40" t="s">
        <v>517</v>
      </c>
      <c r="C40" s="40" t="s">
        <v>518</v>
      </c>
      <c r="D40" s="9" t="s">
        <v>499</v>
      </c>
      <c r="E40" s="9" t="s">
        <v>617</v>
      </c>
      <c r="F40" s="6" t="s">
        <v>381</v>
      </c>
      <c r="G40" s="44" t="s">
        <v>686</v>
      </c>
      <c r="H40" s="44" t="s">
        <v>614</v>
      </c>
      <c r="I40" s="6" t="s">
        <v>555</v>
      </c>
    </row>
    <row r="41" spans="1:9" ht="30" customHeight="1" x14ac:dyDescent="0.15">
      <c r="A41" s="39">
        <v>15</v>
      </c>
      <c r="B41" s="40" t="s">
        <v>519</v>
      </c>
      <c r="C41" s="40" t="s">
        <v>520</v>
      </c>
      <c r="D41" s="26" t="s">
        <v>268</v>
      </c>
      <c r="E41" s="9" t="s">
        <v>592</v>
      </c>
      <c r="F41" s="6" t="s">
        <v>654</v>
      </c>
      <c r="G41" s="44" t="s">
        <v>687</v>
      </c>
      <c r="H41" s="44" t="s">
        <v>697</v>
      </c>
      <c r="I41" s="6" t="s">
        <v>688</v>
      </c>
    </row>
    <row r="42" spans="1:9" ht="30" customHeight="1" x14ac:dyDescent="0.15">
      <c r="A42" s="39">
        <v>16</v>
      </c>
      <c r="B42" s="40" t="s">
        <v>134</v>
      </c>
      <c r="C42" s="40" t="s">
        <v>521</v>
      </c>
      <c r="D42" s="26" t="s">
        <v>135</v>
      </c>
      <c r="E42" s="9" t="s">
        <v>593</v>
      </c>
      <c r="F42" s="6" t="s">
        <v>655</v>
      </c>
      <c r="G42" s="44" t="s">
        <v>689</v>
      </c>
      <c r="H42" s="44" t="s">
        <v>703</v>
      </c>
      <c r="I42" s="6" t="s">
        <v>690</v>
      </c>
    </row>
    <row r="44" spans="1:9" ht="30" customHeight="1" x14ac:dyDescent="0.15">
      <c r="B44" s="9" t="s">
        <v>138</v>
      </c>
      <c r="F44" s="6" t="s">
        <v>802</v>
      </c>
      <c r="G44" s="45" t="s">
        <v>716</v>
      </c>
      <c r="H44" s="45" t="s">
        <v>885</v>
      </c>
      <c r="I44" s="46" t="s">
        <v>717</v>
      </c>
    </row>
    <row r="45" spans="1:9" ht="30" customHeight="1" x14ac:dyDescent="0.15">
      <c r="B45" s="9" t="s">
        <v>777</v>
      </c>
      <c r="F45" s="6" t="s">
        <v>803</v>
      </c>
      <c r="G45" s="45" t="s">
        <v>718</v>
      </c>
      <c r="H45" s="45" t="s">
        <v>892</v>
      </c>
      <c r="I45" s="46" t="s">
        <v>719</v>
      </c>
    </row>
    <row r="46" spans="1:9" ht="30" customHeight="1" x14ac:dyDescent="0.15">
      <c r="B46" s="6" t="s">
        <v>778</v>
      </c>
      <c r="F46" s="6" t="s">
        <v>804</v>
      </c>
      <c r="G46" s="45" t="s">
        <v>720</v>
      </c>
      <c r="H46" s="45" t="s">
        <v>893</v>
      </c>
      <c r="I46" s="46" t="s">
        <v>721</v>
      </c>
    </row>
    <row r="47" spans="1:9" ht="30" customHeight="1" x14ac:dyDescent="0.15">
      <c r="B47" s="9" t="s">
        <v>150</v>
      </c>
      <c r="F47" s="6" t="s">
        <v>805</v>
      </c>
      <c r="G47" s="45" t="s">
        <v>722</v>
      </c>
      <c r="H47" s="45" t="s">
        <v>723</v>
      </c>
      <c r="I47" s="46" t="s">
        <v>724</v>
      </c>
    </row>
    <row r="48" spans="1:9" ht="30" customHeight="1" x14ac:dyDescent="0.15">
      <c r="B48" s="9" t="s">
        <v>779</v>
      </c>
      <c r="F48" s="6" t="s">
        <v>806</v>
      </c>
      <c r="G48" s="45" t="s">
        <v>725</v>
      </c>
      <c r="H48" s="45" t="s">
        <v>726</v>
      </c>
      <c r="I48" s="46" t="s">
        <v>727</v>
      </c>
    </row>
    <row r="49" spans="2:9" ht="30" customHeight="1" x14ac:dyDescent="0.15">
      <c r="B49" s="9" t="s">
        <v>156</v>
      </c>
      <c r="F49" s="6" t="s">
        <v>807</v>
      </c>
      <c r="G49" s="45" t="s">
        <v>728</v>
      </c>
      <c r="H49" s="45" t="s">
        <v>729</v>
      </c>
      <c r="I49" s="46" t="s">
        <v>730</v>
      </c>
    </row>
    <row r="50" spans="2:9" ht="30" customHeight="1" x14ac:dyDescent="0.15">
      <c r="B50" s="9" t="s">
        <v>162</v>
      </c>
      <c r="F50" s="6" t="s">
        <v>808</v>
      </c>
      <c r="G50" s="45" t="s">
        <v>731</v>
      </c>
      <c r="H50" s="45" t="s">
        <v>732</v>
      </c>
      <c r="I50" s="46" t="s">
        <v>733</v>
      </c>
    </row>
    <row r="51" spans="2:9" ht="30" customHeight="1" x14ac:dyDescent="0.15">
      <c r="B51" s="9" t="s">
        <v>155</v>
      </c>
      <c r="F51" s="6" t="s">
        <v>809</v>
      </c>
      <c r="G51" s="45" t="s">
        <v>734</v>
      </c>
      <c r="H51" s="45" t="s">
        <v>735</v>
      </c>
      <c r="I51" s="46" t="s">
        <v>736</v>
      </c>
    </row>
    <row r="52" spans="2:9" ht="30" customHeight="1" x14ac:dyDescent="0.15">
      <c r="B52" s="9" t="s">
        <v>140</v>
      </c>
      <c r="F52" s="6" t="s">
        <v>810</v>
      </c>
      <c r="G52" s="45" t="s">
        <v>737</v>
      </c>
      <c r="H52" s="45" t="s">
        <v>738</v>
      </c>
      <c r="I52" s="46" t="s">
        <v>739</v>
      </c>
    </row>
    <row r="53" spans="2:9" ht="30" customHeight="1" x14ac:dyDescent="0.15">
      <c r="B53" s="6" t="s">
        <v>142</v>
      </c>
      <c r="F53" s="6" t="s">
        <v>811</v>
      </c>
      <c r="G53" s="45" t="s">
        <v>740</v>
      </c>
      <c r="H53" s="45" t="s">
        <v>741</v>
      </c>
      <c r="I53" s="46" t="s">
        <v>742</v>
      </c>
    </row>
    <row r="54" spans="2:9" ht="30" customHeight="1" x14ac:dyDescent="0.15">
      <c r="B54" s="6" t="s">
        <v>780</v>
      </c>
      <c r="F54" s="6" t="s">
        <v>812</v>
      </c>
      <c r="G54" s="45" t="s">
        <v>743</v>
      </c>
      <c r="H54" s="45" t="s">
        <v>744</v>
      </c>
      <c r="I54" s="46" t="s">
        <v>745</v>
      </c>
    </row>
    <row r="55" spans="2:9" ht="30" customHeight="1" x14ac:dyDescent="0.15">
      <c r="B55" s="6" t="s">
        <v>781</v>
      </c>
      <c r="F55" s="6" t="s">
        <v>813</v>
      </c>
      <c r="G55" s="45" t="s">
        <v>746</v>
      </c>
      <c r="H55" s="45" t="s">
        <v>747</v>
      </c>
      <c r="I55" s="46" t="s">
        <v>748</v>
      </c>
    </row>
    <row r="56" spans="2:9" ht="30" customHeight="1" x14ac:dyDescent="0.15">
      <c r="B56" s="6" t="s">
        <v>782</v>
      </c>
      <c r="F56" s="35" t="s">
        <v>814</v>
      </c>
      <c r="G56" s="45" t="s">
        <v>749</v>
      </c>
      <c r="H56" s="45" t="s">
        <v>750</v>
      </c>
      <c r="I56" s="46" t="s">
        <v>751</v>
      </c>
    </row>
    <row r="57" spans="2:9" ht="30" customHeight="1" x14ac:dyDescent="0.15">
      <c r="B57" s="9" t="s">
        <v>148</v>
      </c>
      <c r="F57" s="6" t="s">
        <v>815</v>
      </c>
      <c r="G57" s="45" t="s">
        <v>752</v>
      </c>
      <c r="H57" s="45" t="s">
        <v>753</v>
      </c>
      <c r="I57" s="46" t="s">
        <v>754</v>
      </c>
    </row>
    <row r="58" spans="2:9" ht="30" customHeight="1" x14ac:dyDescent="0.15">
      <c r="B58" s="9" t="s">
        <v>146</v>
      </c>
      <c r="F58" s="6" t="s">
        <v>816</v>
      </c>
      <c r="G58" s="45" t="s">
        <v>755</v>
      </c>
      <c r="H58" s="45" t="s">
        <v>887</v>
      </c>
      <c r="I58" s="46" t="s">
        <v>756</v>
      </c>
    </row>
    <row r="59" spans="2:9" ht="30" customHeight="1" x14ac:dyDescent="0.15">
      <c r="B59" s="9" t="s">
        <v>783</v>
      </c>
      <c r="F59" s="6" t="s">
        <v>817</v>
      </c>
      <c r="G59" s="45" t="s">
        <v>757</v>
      </c>
      <c r="H59" s="45" t="s">
        <v>758</v>
      </c>
      <c r="I59" s="46" t="s">
        <v>759</v>
      </c>
    </row>
    <row r="60" spans="2:9" ht="30" customHeight="1" x14ac:dyDescent="0.15">
      <c r="B60" s="6" t="s">
        <v>169</v>
      </c>
      <c r="F60" s="35" t="s">
        <v>818</v>
      </c>
      <c r="G60" s="45" t="s">
        <v>760</v>
      </c>
      <c r="H60" s="45" t="s">
        <v>888</v>
      </c>
      <c r="I60" s="46" t="s">
        <v>761</v>
      </c>
    </row>
    <row r="61" spans="2:9" ht="30" customHeight="1" x14ac:dyDescent="0.15">
      <c r="B61" s="9" t="s">
        <v>784</v>
      </c>
      <c r="F61" s="6" t="s">
        <v>819</v>
      </c>
      <c r="G61" s="45" t="s">
        <v>762</v>
      </c>
      <c r="H61" s="45" t="s">
        <v>894</v>
      </c>
      <c r="I61" s="46" t="s">
        <v>763</v>
      </c>
    </row>
    <row r="62" spans="2:9" ht="30" customHeight="1" x14ac:dyDescent="0.15">
      <c r="B62" s="6" t="s">
        <v>785</v>
      </c>
      <c r="F62" s="6" t="s">
        <v>820</v>
      </c>
      <c r="G62" s="45" t="s">
        <v>764</v>
      </c>
      <c r="H62" s="45" t="s">
        <v>895</v>
      </c>
      <c r="I62" s="46" t="s">
        <v>765</v>
      </c>
    </row>
    <row r="63" spans="2:9" ht="30" customHeight="1" x14ac:dyDescent="0.15">
      <c r="B63" s="6" t="s">
        <v>786</v>
      </c>
      <c r="F63" s="6" t="s">
        <v>821</v>
      </c>
      <c r="G63" s="45" t="s">
        <v>766</v>
      </c>
      <c r="H63" s="45" t="s">
        <v>886</v>
      </c>
      <c r="I63" s="46" t="s">
        <v>767</v>
      </c>
    </row>
    <row r="64" spans="2:9" ht="30" customHeight="1" x14ac:dyDescent="0.15">
      <c r="B64" s="6" t="s">
        <v>787</v>
      </c>
      <c r="F64" s="35" t="s">
        <v>822</v>
      </c>
      <c r="G64" s="45" t="s">
        <v>768</v>
      </c>
      <c r="H64" s="45" t="s">
        <v>889</v>
      </c>
      <c r="I64" s="46" t="s">
        <v>769</v>
      </c>
    </row>
    <row r="65" spans="2:9" ht="30" customHeight="1" x14ac:dyDescent="0.15">
      <c r="B65" s="6" t="s">
        <v>788</v>
      </c>
      <c r="F65" s="6" t="s">
        <v>823</v>
      </c>
      <c r="G65" s="45" t="s">
        <v>770</v>
      </c>
      <c r="H65" s="45" t="s">
        <v>896</v>
      </c>
      <c r="I65" s="46" t="s">
        <v>771</v>
      </c>
    </row>
    <row r="66" spans="2:9" ht="30" customHeight="1" x14ac:dyDescent="0.15">
      <c r="B66" s="9" t="s">
        <v>164</v>
      </c>
      <c r="F66" s="6" t="s">
        <v>824</v>
      </c>
      <c r="G66" s="45" t="s">
        <v>772</v>
      </c>
      <c r="H66" s="45" t="s">
        <v>773</v>
      </c>
      <c r="I66" s="46" t="s">
        <v>774</v>
      </c>
    </row>
    <row r="67" spans="2:9" ht="30" customHeight="1" x14ac:dyDescent="0.15">
      <c r="B67" s="9" t="s">
        <v>789</v>
      </c>
      <c r="F67" s="6" t="s">
        <v>825</v>
      </c>
      <c r="G67" s="45" t="s">
        <v>775</v>
      </c>
      <c r="H67" s="45" t="s">
        <v>897</v>
      </c>
      <c r="I67" s="46" t="s">
        <v>776</v>
      </c>
    </row>
    <row r="68" spans="2:9" ht="30" customHeight="1" x14ac:dyDescent="0.15">
      <c r="B68" s="6" t="s">
        <v>790</v>
      </c>
      <c r="F68" s="6" t="s">
        <v>826</v>
      </c>
      <c r="G68" s="45" t="s">
        <v>842</v>
      </c>
      <c r="H68" s="45" t="s">
        <v>843</v>
      </c>
      <c r="I68" s="46" t="s">
        <v>844</v>
      </c>
    </row>
    <row r="69" spans="2:9" ht="30" customHeight="1" x14ac:dyDescent="0.15">
      <c r="B69" s="6" t="s">
        <v>791</v>
      </c>
      <c r="F69" s="35" t="s">
        <v>827</v>
      </c>
      <c r="G69" s="45" t="s">
        <v>845</v>
      </c>
      <c r="H69" s="45" t="s">
        <v>898</v>
      </c>
      <c r="I69" s="46" t="s">
        <v>846</v>
      </c>
    </row>
    <row r="70" spans="2:9" ht="30" customHeight="1" x14ac:dyDescent="0.15">
      <c r="B70" s="6" t="s">
        <v>792</v>
      </c>
      <c r="F70" s="6" t="s">
        <v>828</v>
      </c>
      <c r="G70" s="45" t="s">
        <v>847</v>
      </c>
      <c r="H70" s="45" t="s">
        <v>848</v>
      </c>
      <c r="I70" s="46" t="s">
        <v>849</v>
      </c>
    </row>
    <row r="71" spans="2:9" ht="30" customHeight="1" x14ac:dyDescent="0.15">
      <c r="B71" s="9" t="s">
        <v>159</v>
      </c>
      <c r="F71" s="6" t="s">
        <v>829</v>
      </c>
      <c r="G71" s="45" t="s">
        <v>850</v>
      </c>
      <c r="H71" s="45" t="s">
        <v>851</v>
      </c>
      <c r="I71" s="46" t="s">
        <v>852</v>
      </c>
    </row>
    <row r="72" spans="2:9" ht="30" customHeight="1" x14ac:dyDescent="0.15">
      <c r="B72" s="6" t="s">
        <v>793</v>
      </c>
      <c r="F72" s="6" t="s">
        <v>830</v>
      </c>
      <c r="G72" s="45" t="s">
        <v>853</v>
      </c>
      <c r="H72" s="45" t="s">
        <v>854</v>
      </c>
      <c r="I72" s="46" t="s">
        <v>855</v>
      </c>
    </row>
    <row r="73" spans="2:9" ht="30" customHeight="1" x14ac:dyDescent="0.15">
      <c r="B73" s="9" t="s">
        <v>147</v>
      </c>
      <c r="F73" s="6" t="s">
        <v>831</v>
      </c>
      <c r="G73" s="45" t="s">
        <v>856</v>
      </c>
      <c r="H73" s="45" t="s">
        <v>857</v>
      </c>
      <c r="I73" s="46" t="s">
        <v>858</v>
      </c>
    </row>
    <row r="74" spans="2:9" ht="30" customHeight="1" x14ac:dyDescent="0.15">
      <c r="B74" s="9" t="s">
        <v>153</v>
      </c>
      <c r="F74" s="6" t="s">
        <v>832</v>
      </c>
      <c r="G74" s="45" t="s">
        <v>859</v>
      </c>
      <c r="H74" s="45" t="s">
        <v>860</v>
      </c>
      <c r="I74" s="46" t="s">
        <v>861</v>
      </c>
    </row>
    <row r="75" spans="2:9" ht="30" customHeight="1" x14ac:dyDescent="0.15">
      <c r="B75" s="6" t="s">
        <v>794</v>
      </c>
      <c r="F75" s="6" t="s">
        <v>833</v>
      </c>
      <c r="G75" s="45" t="s">
        <v>862</v>
      </c>
      <c r="H75" s="45" t="s">
        <v>863</v>
      </c>
      <c r="I75" s="46" t="s">
        <v>864</v>
      </c>
    </row>
    <row r="76" spans="2:9" ht="30" customHeight="1" x14ac:dyDescent="0.15">
      <c r="B76" s="6" t="s">
        <v>795</v>
      </c>
      <c r="F76" s="6" t="s">
        <v>834</v>
      </c>
      <c r="G76" s="45" t="s">
        <v>865</v>
      </c>
      <c r="H76" s="45" t="s">
        <v>866</v>
      </c>
      <c r="I76" s="46" t="s">
        <v>867</v>
      </c>
    </row>
    <row r="77" spans="2:9" ht="30" customHeight="1" x14ac:dyDescent="0.15">
      <c r="B77" s="6" t="s">
        <v>796</v>
      </c>
      <c r="F77" s="6" t="s">
        <v>835</v>
      </c>
      <c r="G77" s="45" t="s">
        <v>868</v>
      </c>
      <c r="H77" s="45" t="s">
        <v>902</v>
      </c>
      <c r="I77" s="46" t="s">
        <v>869</v>
      </c>
    </row>
    <row r="78" spans="2:9" ht="30" customHeight="1" x14ac:dyDescent="0.15">
      <c r="B78" s="6" t="s">
        <v>797</v>
      </c>
      <c r="F78" s="6" t="s">
        <v>836</v>
      </c>
      <c r="G78" s="45" t="s">
        <v>870</v>
      </c>
      <c r="H78" s="45" t="s">
        <v>899</v>
      </c>
      <c r="I78" s="46" t="s">
        <v>871</v>
      </c>
    </row>
    <row r="79" spans="2:9" ht="30" customHeight="1" x14ac:dyDescent="0.15">
      <c r="B79" s="6" t="s">
        <v>798</v>
      </c>
      <c r="F79" s="6" t="s">
        <v>837</v>
      </c>
      <c r="G79" s="45" t="s">
        <v>872</v>
      </c>
      <c r="H79" s="45" t="s">
        <v>873</v>
      </c>
      <c r="I79" s="46" t="s">
        <v>874</v>
      </c>
    </row>
    <row r="80" spans="2:9" ht="30" customHeight="1" x14ac:dyDescent="0.15">
      <c r="B80" s="6" t="s">
        <v>799</v>
      </c>
      <c r="F80" s="6" t="s">
        <v>838</v>
      </c>
      <c r="G80" s="45" t="s">
        <v>875</v>
      </c>
      <c r="H80" s="45" t="s">
        <v>901</v>
      </c>
      <c r="I80" s="46" t="s">
        <v>876</v>
      </c>
    </row>
    <row r="81" spans="2:9" ht="30" customHeight="1" x14ac:dyDescent="0.15">
      <c r="B81" s="6" t="s">
        <v>800</v>
      </c>
      <c r="F81" s="6" t="s">
        <v>839</v>
      </c>
      <c r="G81" s="45" t="s">
        <v>877</v>
      </c>
      <c r="H81" s="45" t="s">
        <v>878</v>
      </c>
      <c r="I81" s="46" t="s">
        <v>879</v>
      </c>
    </row>
    <row r="82" spans="2:9" ht="30" customHeight="1" x14ac:dyDescent="0.15">
      <c r="B82" s="6" t="s">
        <v>801</v>
      </c>
      <c r="F82" s="6" t="s">
        <v>840</v>
      </c>
      <c r="G82" s="45" t="s">
        <v>880</v>
      </c>
      <c r="H82" s="45" t="s">
        <v>881</v>
      </c>
      <c r="I82" s="46" t="s">
        <v>882</v>
      </c>
    </row>
    <row r="83" spans="2:9" ht="30" customHeight="1" x14ac:dyDescent="0.15">
      <c r="B83" s="9" t="s">
        <v>167</v>
      </c>
      <c r="F83" s="35" t="s">
        <v>841</v>
      </c>
      <c r="G83" s="45" t="s">
        <v>883</v>
      </c>
      <c r="H83" s="45" t="s">
        <v>900</v>
      </c>
      <c r="I83" s="46" t="s">
        <v>884</v>
      </c>
    </row>
  </sheetData>
  <phoneticPr fontId="5"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9C9601-C2F3-4B38-8EEC-C0C3E53391A1}">
  <dimension ref="B4:F14"/>
  <sheetViews>
    <sheetView zoomScale="160" zoomScaleNormal="160" workbookViewId="0">
      <selection activeCell="C6" sqref="C6"/>
    </sheetView>
  </sheetViews>
  <sheetFormatPr defaultRowHeight="14.25" x14ac:dyDescent="0.15"/>
  <cols>
    <col min="1" max="2" width="9" style="6"/>
    <col min="3" max="4" width="34.5" style="6" bestFit="1" customWidth="1"/>
    <col min="5" max="5" width="38.75" style="6" bestFit="1" customWidth="1"/>
    <col min="6" max="6" width="36.625" style="6" bestFit="1" customWidth="1"/>
    <col min="7" max="16384" width="9" style="6"/>
  </cols>
  <sheetData>
    <row r="4" spans="2:6" x14ac:dyDescent="0.15">
      <c r="B4" s="9" t="s">
        <v>332</v>
      </c>
      <c r="C4" s="9" t="s">
        <v>715</v>
      </c>
      <c r="D4" s="9" t="s">
        <v>620</v>
      </c>
      <c r="E4" s="9" t="s">
        <v>626</v>
      </c>
      <c r="F4" s="6" t="s">
        <v>623</v>
      </c>
    </row>
    <row r="5" spans="2:6" x14ac:dyDescent="0.15">
      <c r="B5" s="9" t="s">
        <v>333</v>
      </c>
      <c r="C5" s="9" t="s">
        <v>624</v>
      </c>
      <c r="D5" s="9" t="s">
        <v>625</v>
      </c>
      <c r="E5" s="9" t="s">
        <v>628</v>
      </c>
      <c r="F5" s="6" t="s">
        <v>627</v>
      </c>
    </row>
    <row r="6" spans="2:6" x14ac:dyDescent="0.15">
      <c r="B6" s="9" t="s">
        <v>334</v>
      </c>
      <c r="C6" s="9" t="s">
        <v>629</v>
      </c>
      <c r="D6" s="9" t="s">
        <v>630</v>
      </c>
      <c r="E6" s="6" t="s">
        <v>631</v>
      </c>
      <c r="F6" s="6" t="s">
        <v>632</v>
      </c>
    </row>
    <row r="7" spans="2:6" x14ac:dyDescent="0.15">
      <c r="B7" s="9" t="s">
        <v>622</v>
      </c>
      <c r="C7" s="9" t="s">
        <v>634</v>
      </c>
      <c r="D7" s="9" t="s">
        <v>637</v>
      </c>
      <c r="E7" s="6" t="s">
        <v>638</v>
      </c>
      <c r="F7" s="6" t="s">
        <v>639</v>
      </c>
    </row>
    <row r="8" spans="2:6" x14ac:dyDescent="0.15">
      <c r="B8" s="9" t="s">
        <v>621</v>
      </c>
      <c r="C8" s="9" t="s">
        <v>633</v>
      </c>
      <c r="D8" s="9" t="s">
        <v>640</v>
      </c>
      <c r="E8" s="6" t="s">
        <v>635</v>
      </c>
      <c r="F8" s="6" t="s">
        <v>636</v>
      </c>
    </row>
    <row r="13" spans="2:6" x14ac:dyDescent="0.15">
      <c r="C13"/>
      <c r="D13" s="34"/>
      <c r="E13" s="34"/>
      <c r="F13" s="34"/>
    </row>
    <row r="14" spans="2:6" x14ac:dyDescent="0.15">
      <c r="C14" s="34"/>
      <c r="D14" s="34"/>
      <c r="E14" s="34"/>
      <c r="F14" s="34"/>
    </row>
  </sheetData>
  <phoneticPr fontId="5"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9</vt:i4>
      </vt:variant>
    </vt:vector>
  </HeadingPairs>
  <TitlesOfParts>
    <vt:vector size="9" baseType="lpstr">
      <vt:lpstr>常规</vt:lpstr>
      <vt:lpstr>方块</vt:lpstr>
      <vt:lpstr>道具</vt:lpstr>
      <vt:lpstr>条约</vt:lpstr>
      <vt:lpstr>成就</vt:lpstr>
      <vt:lpstr>开发</vt:lpstr>
      <vt:lpstr>多语言</vt:lpstr>
      <vt:lpstr>多语言 (2)</vt:lpstr>
      <vt:lpstr>Sheet3</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b3447</cp:lastModifiedBy>
  <dcterms:created xsi:type="dcterms:W3CDTF">2023-05-12T11:15:00Z</dcterms:created>
  <dcterms:modified xsi:type="dcterms:W3CDTF">2026-01-21T16:24:20Z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2052-12.1.0.23542</vt:lpwstr>
  </property>
  <property fmtid="{D5CDD505-2E9C-101B-9397-08002B2CF9AE}" pid="3" name="ICV">
    <vt:lpwstr>68171823892643F7865EF46D7FEDE40E_12</vt:lpwstr>
  </property>
</Properties>
</file>