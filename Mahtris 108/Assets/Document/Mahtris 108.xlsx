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DA387B64-DE57-4C73-9C31-C8597085A57C}" xr6:coauthVersionLast="47" xr6:coauthVersionMax="47" xr10:uidLastSave="{00000000-0000-0000-0000-000000000000}"/>
  <bookViews>
    <workbookView xWindow="-120" yWindow="-120" windowWidth="38640" windowHeight="2124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 i="4" l="1"/>
  <c r="M39" i="4"/>
  <c r="M40" i="4"/>
  <c r="M41" i="4"/>
  <c r="M42" i="4"/>
  <c r="M43" i="4"/>
  <c r="M37" i="4"/>
  <c r="K53" i="4"/>
  <c r="L53" i="4"/>
  <c r="C16" i="4"/>
  <c r="M35" i="3"/>
  <c r="N35" i="3" s="1"/>
  <c r="M36" i="3"/>
  <c r="N36" i="3" s="1"/>
  <c r="M37" i="3"/>
  <c r="N37" i="3" s="1"/>
  <c r="M38" i="3"/>
  <c r="N38" i="3" s="1"/>
  <c r="M39" i="3"/>
  <c r="N39" i="3" s="1"/>
  <c r="M40" i="3"/>
  <c r="N40" i="3" s="1"/>
  <c r="M34" i="3"/>
  <c r="N34" i="3" s="1"/>
  <c r="J35" i="3"/>
  <c r="K35" i="3" s="1"/>
  <c r="J36" i="3"/>
  <c r="K36" i="3" s="1"/>
  <c r="J37" i="3"/>
  <c r="J38" i="3"/>
  <c r="J39" i="3"/>
  <c r="J40" i="3"/>
  <c r="J34" i="3"/>
  <c r="K34" i="3" s="1"/>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<sst xmlns="http://schemas.openxmlformats.org/spreadsheetml/2006/main" count="1438" uniqueCount="1047">
  <si>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</si>
  <si>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</si>
  <si>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</si>
  <si>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</si>
  <si>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</si>
  <si>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</si>
  <si>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</si>
  <si>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</si>
  <si>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</si>
  <si>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</si>
  <si>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</si>
  <si>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</si>
  <si>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</si>
  <si>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</si>
  <si>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</si>
  <si>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</si>
  <si>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</si>
  <si>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</si>
  <si>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</si>
  <si>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</si>
  <si>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</si>
  <si>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</si>
  <si>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</si>
  <si>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</si>
  <si>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</si>
  <si>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</si>
  <si>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</si>
  <si>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</si>
  <si>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</si>
  <si>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</si>
  <si>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</si>
  <si>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</si>
  <si>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</si>
  <si>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</si>
  <si>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</si>
  <si>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</si>
  <si>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</si>
  <si>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</si>
  <si>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</si>
  <si>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</si>
  <si>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</si>
  <si>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</si>
  <si>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</si>
  <si>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</si>
  <si>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</si>
  <si>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</si>
  <si>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</si>
  <si>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</si>
  <si>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</si>
  <si>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</si>
  <si>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</si>
  <si>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</si>
  <si>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</si>
  <si>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</si>
  <si>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</si>
  <si>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</si>
  <si>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</si>
  <si>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</si>
  <si>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</si>
  <si>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</si>
  <si>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</si>
  <si>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</si>
  <si>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</si>
  <si>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</si>
  <si>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</si>
  <si>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</si>
  <si>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</si>
  <si>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</si>
  <si>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</si>
  <si>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</si>
  <si>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</si>
  <si>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</si>
  <si>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</si>
  <si>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</si>
  <si>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</si>
  <si>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</si>
  <si>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</si>
  <si>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</si>
  <si>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</si>
  <si>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</si>
  <si>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</si>
  <si>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</si>
  <si>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</si>
  <si>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</si>
  <si>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</si>
  <si>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</si>
  <si>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</si>
  <si>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</si>
  <si>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</si>
  <si>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</si>
  <si>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</si>
  <si>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</si>
  <si>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</si>
  <si>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</si>
  <si>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</si>
  <si>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</si>
  <si>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</si>
  <si>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</si>
  <si>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</si>
  <si>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</si>
  <si>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</si>
  <si>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</si>
  <si>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</si>
  <si>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</si>
  <si>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</si>
  <si>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</si>
  <si>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</si>
  <si>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</si>
  <si>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</si>
  <si>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</si>
  <si>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</si>
  <si>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</si>
  <si>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</si>
  <si>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</si>
  <si>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</si>
  <si>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</si>
  <si>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</si>
  <si>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</si>
  <si>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</si>
  <si>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</si>
  <si>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</si>
  <si>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</si>
  <si>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</si>
  <si>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</si>
  <si>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</si>
  <si>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</si>
  <si>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</si>
  <si>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</si>
  <si>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</si>
  <si>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</si>
  <si>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</si>
  <si>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</si>
  <si>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</si>
  <si>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</si>
  <si>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</si>
  <si>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</si>
  <si>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</si>
  <si>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</si>
  <si>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</si>
  <si>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</si>
  <si>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</si>
  <si>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</si>
  <si>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</si>
  <si>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</si>
  <si>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</si>
  <si>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</si>
  <si>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</si>
  <si>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</si>
  <si>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</si>
  <si>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</si>
  <si>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</si>
  <si>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</si>
  <si>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</si>
  <si>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</si>
  <si>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</si>
  <si>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</si>
  <si>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</si>
  <si>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</si>
  <si>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</si>
  <si>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</si>
  <si>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</si>
  <si>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</si>
  <si>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</si>
  <si>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</si>
  <si>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</si>
  <si>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</si>
  <si>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</si>
  <si>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</si>
  <si>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</si>
  <si>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</si>
  <si>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</si>
  <si>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</si>
  <si>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</si>
  <si>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</si>
  <si>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</si>
  <si>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</si>
  <si>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</si>
  <si>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</si>
  <si>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</si>
  <si>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</si>
  <si>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</si>
  <si>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</si>
  <si>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</si>
  <si>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</si>
  <si>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</si>
  <si>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</si>
  <si>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</si>
  <si>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</si>
  <si>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</si>
  <si>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</si>
  <si>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</si>
  <si>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</si>
  <si>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</si>
  <si>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</si>
  <si>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</si>
  <si>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</si>
  <si>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</si>
  <si>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</si>
  <si>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</si>
  <si>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</si>
  <si>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</si>
  <si>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</si>
  <si>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</si>
  <si>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</si>
  <si>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</si>
  <si>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</si>
  <si>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</si>
  <si>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</si>
  <si>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</si>
  <si>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</si>
  <si>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</si>
  <si>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</si>
  <si>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</si>
  <si>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</si>
  <si>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</si>
  <si>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</si>
  <si>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</si>
  <si>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</si>
  <si>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</si>
  <si>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</si>
  <si>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</si>
  <si>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</si>
  <si>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</si>
  <si>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</si>
  <si>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</si>
  <si>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</si>
  <si>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</si>
  <si>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</si>
  <si>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</si>
  <si>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</si>
  <si>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</si>
  <si>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</si>
  <si>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</si>
  <si>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</si>
  <si>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</si>
  <si>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</si>
  <si>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</si>
  <si>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</si>
  <si>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</si>
  <si>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</si>
  <si>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</si>
  <si>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</si>
  <si>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</si>
  <si>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</si>
  <si>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</si>
  <si>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</si>
  <si>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</si>
  <si>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</si>
  <si>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</si>
  <si>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</si>
  <si>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</si>
  <si>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</si>
  <si>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</si>
  <si>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</si>
  <si>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</si>
  <si>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</si>
  <si>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</si>
  <si>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</si>
  <si>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</si>
  <si>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</si>
  <si>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</si>
  <si>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</si>
  <si>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</si>
  <si>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</si>
  <si>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</si>
  <si>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</si>
  <si>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</si>
  <si>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</si>
  <si>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</si>
  <si>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</si>
  <si>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</si>
  <si>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</si>
  <si>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</si>
  <si>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</si>
  <si>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</si>
  <si>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</si>
  <si>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</si>
  <si>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</si>
  <si>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</si>
  <si>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</si>
  <si>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</si>
  <si>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</si>
  <si>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</si>
  <si>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</si>
  <si>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</si>
  <si>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</si>
  <si>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</si>
  <si>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</si>
  <si>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</si>
  <si>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</si>
  <si>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</si>
  <si>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</si>
  <si>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</si>
  <si>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</si>
  <si>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</si>
  <si>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</si>
  <si>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</si>
  <si>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</si>
  <si>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</si>
  <si>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</si>
  <si>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</si>
  <si>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</si>
  <si>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</si>
  <si>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</si>
  <si>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</si>
  <si>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</si>
  <si>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</si>
  <si>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</si>
  <si>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</si>
  <si>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</si>
  <si>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</si>
  <si>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</si>
  <si>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</si>
  <si>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</si>
  <si>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</si>
  <si>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</si>
  <si>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</si>
  <si>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</si>
  <si>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</si>
  <si>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</si>
  <si>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</si>
  <si>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</si>
  <si>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</si>
  <si>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</si>
  <si>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</si>
  <si>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</si>
  <si>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</si>
  <si>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</si>
  <si>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</si>
  <si>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</si>
  <si>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</si>
  <si>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</si>
  <si>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</si>
  <si>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</si>
  <si>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</si>
  <si>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</si>
  <si>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</si>
  <si>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</si>
  <si>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</si>
  <si>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</si>
  <si>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</si>
  <si>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</si>
  <si>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</si>
  <si>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</si>
  <si>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</si>
  <si>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</si>
  <si>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</si>
  <si>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</si>
  <si>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</si>
  <si>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</si>
  <si>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</si>
  <si>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</si>
  <si>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</si>
  <si>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</si>
  <si>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</si>
  <si>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</si>
  <si>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</si>
  <si>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</si>
  <si>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</si>
  <si>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</si>
  <si>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</si>
  <si>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</si>
  <si>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</si>
  <si>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</si>
  <si>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</si>
  <si>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</si>
  <si>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</si>
  <si>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</si>
  <si>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</si>
  <si>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</si>
  <si>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</si>
  <si>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</si>
  <si>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</si>
  <si>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</si>
  <si>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</si>
  <si>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</si>
  <si>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</si>
  <si>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</si>
  <si>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</si>
  <si>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</si>
  <si>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</si>
  <si>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</si>
  <si>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</si>
  <si>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</si>
  <si>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</si>
  <si>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</si>
  <si>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</si>
  <si>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</si>
  <si>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</si>
  <si>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</si>
  <si>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</si>
  <si>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</si>
  <si>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</si>
  <si>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</si>
  <si>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</si>
  <si>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</si>
  <si>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</si>
  <si>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</si>
  <si>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</si>
  <si>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</si>
  <si>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</si>
  <si>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</si>
  <si>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</si>
  <si>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</si>
  <si>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</si>
  <si>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</si>
  <si>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</si>
  <si>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</si>
  <si>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</si>
  <si>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</si>
  <si>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</si>
  <si>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</si>
  <si>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</si>
  <si>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</si>
  <si>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</si>
  <si>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</si>
  <si>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</si>
  <si>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</si>
  <si>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</si>
  <si>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</si>
  <si>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</si>
  <si>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</si>
  <si>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</si>
  <si>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</si>
  <si>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</si>
  <si>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</si>
  <si>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</si>
  <si>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</si>
  <si>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</si>
  <si>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</si>
  <si>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</si>
  <si>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</si>
  <si>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</si>
  <si>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</si>
  <si>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</si>
  <si>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</si>
  <si>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</si>
  <si>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</si>
  <si>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</si>
  <si>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</si>
  <si>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</si>
  <si>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</si>
  <si>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</si>
  <si>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</si>
  <si>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</si>
  <si>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</si>
  <si>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</si>
  <si>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</si>
  <si>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</si>
  <si>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</si>
  <si>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</si>
  <si>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</si>
  <si>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</si>
  <si>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</si>
  <si>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</si>
  <si>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</si>
  <si>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</si>
  <si>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</si>
  <si>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</si>
  <si>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</si>
  <si>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</si>
  <si>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</si>
  <si>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</si>
  <si>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</si>
  <si>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</si>
  <si>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</si>
  <si>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</si>
  <si>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</si>
  <si>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</si>
  <si>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</si>
  <si>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</si>
  <si>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</si>
  <si>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</si>
  <si>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</si>
  <si>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</si>
  <si>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</si>
  <si>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</si>
  <si>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</si>
  <si>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</si>
  <si>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</si>
  <si>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</si>
  <si>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</si>
  <si>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</si>
  <si>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</si>
  <si>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</si>
  <si>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</si>
  <si>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</si>
  <si>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</si>
  <si>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</si>
  <si>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</si>
  <si>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</si>
  <si>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</si>
  <si>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</si>
  <si>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</si>
  <si>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</si>
  <si>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</si>
  <si>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</si>
  <si>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</si>
  <si>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</si>
  <si>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</si>
  <si>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</si>
  <si>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</si>
  <si>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</si>
  <si>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</si>
  <si>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</si>
  <si>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</si>
  <si>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</si>
  <si>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</si>
  <si>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</si>
  <si>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</si>
  <si>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</si>
  <si>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</si>
  <si>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</si>
  <si>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</si>
  <si>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</si>
  <si>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</si>
  <si>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</si>
  <si>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</si>
  <si>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</si>
  <si>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</si>
  <si>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</si>
  <si>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</si>
  <si>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</si>
  <si>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</si>
  <si>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</si>
  <si>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</si>
  <si>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</si>
  <si>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</si>
  <si>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</si>
  <si>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</si>
  <si>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</si>
  <si>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</si>
  <si>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</si>
  <si>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</si>
  <si>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</si>
  <si>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</si>
  <si>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</si>
  <si>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</si>
  <si>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</si>
  <si>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</si>
  <si>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</si>
  <si>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</si>
  <si>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</si>
  <si>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</si>
  <si>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</si>
  <si>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</si>
  <si>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</si>
  <si>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</si>
  <si>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</si>
  <si>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</si>
  <si>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</si>
  <si>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</si>
  <si>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</si>
  <si>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</si>
  <si>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</si>
  <si>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</si>
  <si>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</si>
  <si>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</si>
  <si>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</si>
  <si>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</si>
  <si>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</si>
  <si>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</si>
  <si>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</si>
  <si>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</si>
  <si>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</si>
  <si>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</si>
  <si>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</si>
  <si>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</si>
  <si>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</si>
  <si>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</si>
  <si>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</si>
  <si>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</si>
  <si>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</si>
  <si>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</si>
  <si>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</si>
  <si>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</si>
  <si>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</si>
  <si>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</si>
  <si>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</si>
  <si>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</si>
  <si>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</si>
  <si>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</si>
  <si>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</si>
  <si>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</si>
  <si>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</si>
  <si>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</si>
  <si>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</si>
  <si>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</si>
  <si>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</si>
  <si>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</si>
  <si>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</si>
  <si>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</si>
  <si>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</si>
  <si>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</si>
  <si>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</si>
  <si>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</si>
  <si>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</si>
  <si>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</si>
  <si>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</si>
  <si>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</si>
  <si>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</si>
  <si>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</si>
  <si>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</si>
  <si>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</si>
  <si>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</si>
  <si>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</si>
  <si>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</si>
  <si>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</si>
  <si>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</si>
  <si>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</si>
  <si>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</si>
  <si>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</si>
  <si>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</si>
  <si>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</si>
  <si>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</si>
  <si>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</si>
  <si>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</si>
  <si>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</si>
  <si>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</si>
  <si>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</si>
  <si>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</si>
  <si>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</si>
  <si>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</si>
  <si>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</si>
  <si>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</si>
  <si>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</si>
  <si>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</si>
  <si>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</si>
  <si>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</si>
  <si>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</si>
  <si>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</si>
  <si>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</si>
  <si>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</si>
  <si>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</si>
  <si>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</si>
  <si>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</si>
  <si>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</si>
  <si>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</si>
  <si>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</si>
  <si>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</si>
  <si>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</si>
  <si>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</si>
  <si>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</si>
  <si>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</si>
  <si>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</si>
  <si>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</si>
  <si>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</si>
  <si>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</si>
  <si>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</si>
  <si>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</si>
  <si>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</si>
  <si>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</si>
  <si>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</si>
  <si>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</si>
  <si>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</si>
  <si>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</si>
  <si>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</si>
  <si>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</si>
  <si>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</si>
  <si>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</si>
  <si>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</si>
  <si>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</si>
  <si>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</si>
  <si>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</si>
  <si>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</si>
  <si>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</si>
  <si>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</si>
  <si>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</si>
  <si>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</si>
  <si>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</si>
  <si>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</si>
  <si>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</si>
  <si>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</si>
  <si>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</si>
  <si>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</si>
  <si>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</si>
  <si>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</si>
  <si>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</si>
  <si>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</si>
  <si>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</si>
  <si>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</si>
  <si>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</si>
  <si>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</si>
  <si>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</si>
  <si>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</si>
  <si>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</si>
  <si>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</si>
  <si>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</si>
  <si>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</si>
  <si>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</si>
  <si>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</si>
  <si>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</si>
  <si>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</si>
  <si>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</si>
  <si>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</si>
  <si>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</si>
  <si>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</si>
  <si>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</si>
  <si>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</si>
  <si>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</si>
  <si>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</si>
  <si>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</si>
  <si>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</si>
  <si>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</si>
  <si>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</si>
  <si>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</si>
  <si>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</si>
  <si>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</si>
  <si>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</si>
  <si>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</si>
  <si>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</si>
  <si>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</si>
  <si>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</si>
  <si>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</si>
  <si>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</si>
  <si>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</si>
  <si>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</si>
  <si>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</si>
  <si>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</si>
  <si>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</si>
  <si>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</si>
  <si>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</si>
  <si>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</si>
  <si>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</si>
  <si>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</si>
  <si>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</si>
  <si>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</si>
  <si>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</si>
  <si>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</si>
  <si>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</si>
  <si>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</si>
  <si>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</si>
  <si>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</si>
  <si>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</si>
  <si>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</si>
  <si>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</si>
  <si>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</si>
  <si>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</si>
  <si>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</si>
  <si>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</si>
  <si>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</si>
  <si>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</si>
  <si>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</si>
  <si>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</si>
  <si>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</si>
  <si>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</si>
  <si>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</si>
  <si>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</si>
  <si>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</si>
  <si>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</si>
  <si>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</si>
  <si>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</si>
  <si>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</si>
  <si>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</si>
  <si>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</si>
  <si>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</si>
  <si>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</si>
  <si>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</si>
  <si>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</si>
  <si>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</si>
  <si>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</si>
  <si>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</si>
  <si>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</si>
  <si>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</si>
  <si>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</si>
  <si>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</si>
  <si>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</si>
  <si>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</si>
  <si>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</si>
  <si>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</si>
  <si>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</si>
  <si>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</si>
  <si>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</si>
  <si>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</si>
  <si>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</si>
  <si>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</si>
  <si>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</si>
  <si>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</si>
  <si>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</si>
  <si>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</si>
  <si>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</si>
  <si>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</si>
  <si>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</si>
  <si>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</si>
  <si>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</si>
  <si>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</si>
  <si>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</si>
  <si>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</si>
  <si>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</si>
  <si>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</si>
  <si>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</si>
  <si>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</si>
  <si>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</si>
  <si>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</si>
  <si>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</si>
  <si>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</si>
  <si>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</si>
  <si>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</si>
  <si>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</si>
  <si>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</si>
  <si>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</si>
  <si>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</si>
  <si>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</si>
  <si>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</si>
  <si>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</si>
  <si>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</si>
  <si>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</si>
  <si>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</si>
  <si>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</si>
  <si>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</si>
  <si>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</si>
  <si>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</si>
  <si>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</si>
  <si>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</si>
  <si>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</si>
  <si>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</si>
  <si>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</si>
  <si>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</si>
  <si>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</si>
  <si>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</si>
  <si>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</si>
  <si>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</si>
  <si>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</si>
  <si>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</si>
  <si>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</si>
  <si>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</si>
  <si>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</si>
  <si>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</si>
  <si>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</si>
  <si>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</si>
  <si>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</si>
  <si>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</si>
  <si>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</si>
  <si>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</si>
  <si>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</si>
  <si>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</si>
  <si>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</si>
  <si>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</si>
  <si>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</si>
  <si>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</si>
  <si>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</si>
  <si>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</si>
  <si>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</si>
  <si>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</si>
  <si>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</si>
  <si>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</si>
  <si>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</si>
  <si>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</si>
  <si>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</si>
  <si>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</si>
  <si>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</si>
  <si>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</si>
  <si>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</si>
  <si>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</si>
  <si>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</si>
  <si>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</si>
  <si>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</si>
  <si>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</si>
  <si>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</si>
  <si>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</si>
  <si>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</si>
  <si>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</si>
  <si>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</si>
  <si>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</si>
  <si>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</si>
  <si>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</si>
  <si>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</si>
  <si>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</si>
  <si>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</si>
  <si>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</si>
  <si>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</si>
  <si>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</si>
  <si>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</si>
  <si>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</si>
  <si>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</si>
  <si>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</si>
  <si>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</si>
  <si>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</si>
  <si>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</si>
  <si>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</si>
  <si>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</si>
  <si>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</si>
  <si>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</si>
  <si>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</si>
  <si>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</si>
  <si>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</si>
  <si>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</si>
  <si>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</si>
  <si>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</si>
  <si>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</si>
  <si>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</si>
  <si>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</si>
  <si>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</si>
  <si>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</si>
  <si>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</si>
  <si>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</si>
  <si>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</si>
  <si>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</si>
  <si>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</si>
  <si>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</si>
  <si>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</si>
  <si>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</si>
  <si>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</si>
  <si>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</si>
  <si>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</si>
  <si>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</si>
  <si>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</si>
  <si>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</si>
  <si>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</si>
  <si>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</si>
  <si>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</si>
  <si>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</si>
  <si>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</si>
  <si>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</si>
  <si>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</si>
  <si>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</si>
  <si>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</si>
  <si>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</si>
  <si>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</si>
  <si>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</si>
  <si>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</si>
  <si>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</si>
  <si>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</si>
  <si>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</si>
  <si>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</si>
  <si>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</si>
  <si>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</si>
  <si>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</si>
  <si>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</si>
  <si>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</si>
  <si>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</si>
  <si>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</si>
  <si>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</si>
  <si>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</si>
  <si>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</si>
  <si>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</si>
  <si>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</si>
  <si>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</si>
  <si>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</si>
  <si>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</si>
  <si>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</si>
  <si>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</si>
  <si>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</si>
  <si>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</si>
  <si>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</si>
  <si>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</si>
  <si>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</si>
  <si>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</si>
  <si>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</si>
  <si>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</si>
  <si>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</si>
  <si>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</si>
  <si>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</si>
  <si>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</si>
  <si>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</si>
  <si>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</si>
  <si>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</si>
  <si>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</si>
  <si>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</si>
  <si>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</si>
  <si>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</si>
  <si>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</si>
  <si>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</si>
  <si>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</si>
  <si>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</si>
  <si>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</si>
  <si>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</si>
  <si>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</si>
  <si>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</si>
  <si>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</si>
  <si>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</si>
  <si>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</si>
  <si>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</si>
  <si>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</si>
  <si>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</si>
  <si>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</si>
  <si>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</si>
  <si>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</si>
  <si>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</si>
  <si>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</si>
  <si>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</si>
  <si>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</si>
  <si>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</si>
  <si>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</si>
  <si>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</si>
  <si>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</si>
  <si>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</si>
  <si>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</si>
  <si>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</si>
  <si>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</si>
  <si>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</si>
  <si>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</si>
  <si>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</si>
  <si>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</si>
  <si>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</si>
  <si>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</si>
  <si>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</si>
  <si>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</si>
  <si>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</si>
  <si>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</si>
  <si>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</si>
  <si>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</si>
  <si>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</si>
  <si>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</si>
  <si>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</si>
  <si>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</si>
  <si>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</si>
  <si>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</si>
  <si>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</si>
  <si>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</si>
  <si>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</si>
  <si>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</si>
  <si>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</si>
  <si>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</si>
  <si>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</si>
  <si>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</si>
  <si>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</si>
  <si>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接下来20个方块速度变为1，仅本轮有效</t>
    <phoneticPr fontId="5" type="noConversion"/>
  </si>
  <si>
    <t>筒、万、条都有相同数字的刻子</t>
    <phoneticPr fontId="6" type="noConversion"/>
  </si>
  <si>
    <t>仅剩一个方块，不可使用</t>
    <phoneticPr fontId="5" type="noConversion"/>
  </si>
  <si>
    <t>胡牌区没有可以移除的牌</t>
    <phoneticPr fontId="5" type="noConversion"/>
  </si>
  <si>
    <t>最下方三行的方块牌面进行排序</t>
    <phoneticPr fontId="5" type="noConversion"/>
  </si>
  <si>
    <t>没有可以排序的麻将</t>
    <phoneticPr fontId="5" type="noConversion"/>
  </si>
  <si>
    <t>尚未使用任何道具</t>
    <phoneticPr fontId="5" type="noConversion"/>
  </si>
  <si>
    <t>胡牌区已满</t>
    <phoneticPr fontId="5" type="noConversion"/>
  </si>
  <si>
    <t>胡牌区没有刻子</t>
    <phoneticPr fontId="5" type="noConversion"/>
  </si>
  <si>
    <t>场上没有可以凑杠的牌</t>
    <phoneticPr fontId="5" type="noConversion"/>
  </si>
  <si>
    <t>提示</t>
    <phoneticPr fontId="5" type="noConversion"/>
  </si>
  <si>
    <t>ITEM_TIPS_01</t>
    <phoneticPr fontId="5" type="noConversion"/>
  </si>
  <si>
    <t>ITEM_TIPS_02</t>
    <phoneticPr fontId="5" type="noConversion"/>
  </si>
  <si>
    <t>ITEM_TIPS_03</t>
    <phoneticPr fontId="5" type="noConversion"/>
  </si>
  <si>
    <t>ITEM_TIPS_04</t>
    <phoneticPr fontId="5" type="noConversion"/>
  </si>
  <si>
    <t>ITEM_TIPS_05</t>
    <phoneticPr fontId="5" type="noConversion"/>
  </si>
  <si>
    <t>ITEM_TIPS_06</t>
    <phoneticPr fontId="5" type="noConversion"/>
  </si>
  <si>
    <t>ITEM_TIPS_07</t>
    <phoneticPr fontId="5" type="noConversion"/>
  </si>
  <si>
    <t>ITEM_TIPS_08</t>
    <phoneticPr fontId="5" type="noConversion"/>
  </si>
  <si>
    <t>ITEM_TIPS_09</t>
    <phoneticPr fontId="5" type="noConversion"/>
  </si>
  <si>
    <t>炸弹</t>
    <phoneticPr fontId="5" type="noConversion"/>
  </si>
  <si>
    <t>超级炸弹</t>
    <phoneticPr fontId="5" type="noConversion"/>
  </si>
  <si>
    <t>没有可以消除的方块</t>
    <phoneticPr fontId="5" type="noConversion"/>
  </si>
  <si>
    <t>牌库没有可以凑成顺子或刻子的牌</t>
    <phoneticPr fontId="5" type="noConversion"/>
  </si>
  <si>
    <t>键盘上下、左右按键功能调换，额外倍率x5</t>
    <phoneticPr fontId="6" type="noConversion"/>
  </si>
  <si>
    <t>子弹时间时间文本颜色不还原</t>
    <phoneticPr fontId="6" type="noConversion"/>
  </si>
  <si>
    <t>每经过3秒基础分会随机增加1~24</t>
    <phoneticPr fontId="6" type="noConversion"/>
  </si>
  <si>
    <t>当有胡牌区有刻子，且场上有这个刻子的牌，获取该牌形成杠牌</t>
    <phoneticPr fontId="5" type="noConversion"/>
  </si>
  <si>
    <t>方块速度-60%，仅本轮有效</t>
    <phoneticPr fontId="5" type="noConversion"/>
  </si>
  <si>
    <t>方块列表中随机2种方块，整局游戏这两种方块的方块倍率+4</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</si>
</sst>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s>
  <borders count="1">
    <border>
      <left/>
      <right/>
      <top/>
      <bottom/>
      <diagonal/>
    </border>
  </borders>
  <cellStyleXfs count="1">
    <xf numFmtId="0" fontId="0" fillId="0" borderId="0">
      <alignment vertical="center"/>
    </xf>
  </cellStyleXfs>
  <cellXfs count="5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176" fontId="3" fillId="0" borderId="0" xfId="0" applyNumberFormat="1" applyFont="1" applyAlignment="1">
      <alignment vertical="center" wrapText="1"/>
    </xf>
    <xf numFmtId="0" fontId="3" fillId="2" borderId="0" xfId="0" applyFont="1" applyFill="1">
      <alignment vertical="center"/>
    </xf>
    <xf numFmtId="0" fontId="3" fillId="0" borderId="0" xfId="0"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B25" zoomScale="190" zoomScaleNormal="190" workbookViewId="0">
      <selection activeCell="I37" sqref="I3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0" width="9" style="6"/>
    <col min="11" max="12" width="12.75" style="6" customWidth="1"/>
    <col min="13"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5</v>
      </c>
      <c r="C13" s="8">
        <f t="shared" ref="C13:C20" si="1">2^B13</f>
        <v>32</v>
      </c>
      <c r="D13" s="17" t="s">
        <v>302</v>
      </c>
      <c r="H13" s="6" t="s">
        <v>25</v>
      </c>
    </row>
    <row r="14" spans="1:9" x14ac:dyDescent="0.15">
      <c r="A14" s="6" t="s">
        <v>26</v>
      </c>
      <c r="B14" s="8">
        <v>4</v>
      </c>
      <c r="C14" s="8">
        <f t="shared" si="1"/>
        <v>16</v>
      </c>
      <c r="D14" s="17" t="s">
        <v>303</v>
      </c>
    </row>
    <row r="15" spans="1:9" x14ac:dyDescent="0.15">
      <c r="A15" s="17" t="s">
        <v>304</v>
      </c>
      <c r="B15" s="8">
        <v>4</v>
      </c>
      <c r="C15" s="8">
        <f t="shared" si="1"/>
        <v>16</v>
      </c>
      <c r="D15" s="17" t="s">
        <v>305</v>
      </c>
      <c r="H15" s="6" t="s">
        <v>27</v>
      </c>
    </row>
    <row r="16" spans="1:9" x14ac:dyDescent="0.15">
      <c r="A16" s="6" t="s">
        <v>336</v>
      </c>
      <c r="B16" s="8">
        <v>4</v>
      </c>
      <c r="C16" s="8">
        <f t="shared" ref="C16" si="2">2^B16</f>
        <v>16</v>
      </c>
      <c r="D16" s="6" t="s">
        <v>1018</v>
      </c>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3">J26/K26</f>
        <v>4</v>
      </c>
    </row>
    <row r="27" spans="1:14" x14ac:dyDescent="0.15">
      <c r="J27" s="6">
        <v>1</v>
      </c>
      <c r="K27" s="6">
        <v>0.5</v>
      </c>
      <c r="L27" s="6">
        <v>10</v>
      </c>
      <c r="N27" s="16">
        <f t="shared" si="3"/>
        <v>2</v>
      </c>
    </row>
    <row r="28" spans="1:14" x14ac:dyDescent="0.15">
      <c r="J28" s="6">
        <v>1</v>
      </c>
      <c r="K28" s="6">
        <v>0.75</v>
      </c>
      <c r="L28" s="6">
        <v>15</v>
      </c>
      <c r="N28" s="16">
        <f t="shared" si="3"/>
        <v>1.3333333333333333</v>
      </c>
    </row>
    <row r="29" spans="1:14" x14ac:dyDescent="0.15">
      <c r="A29" s="7" t="s">
        <v>36</v>
      </c>
      <c r="B29" s="7" t="s">
        <v>21</v>
      </c>
      <c r="C29" s="7" t="s">
        <v>22</v>
      </c>
      <c r="D29" s="7" t="s">
        <v>37</v>
      </c>
      <c r="E29" s="7" t="s">
        <v>38</v>
      </c>
      <c r="J29" s="6">
        <v>1</v>
      </c>
      <c r="K29" s="6">
        <v>1</v>
      </c>
      <c r="L29" s="6">
        <v>20</v>
      </c>
      <c r="N29" s="16">
        <f t="shared" si="3"/>
        <v>1</v>
      </c>
    </row>
    <row r="30" spans="1:14" x14ac:dyDescent="0.15">
      <c r="A30" s="8">
        <v>10</v>
      </c>
      <c r="B30" s="8">
        <v>1</v>
      </c>
      <c r="C30" s="8">
        <v>26</v>
      </c>
      <c r="D30" s="8">
        <v>1</v>
      </c>
      <c r="E30" s="8">
        <f t="shared" ref="E30:E32" si="4">A30*(2^B30)*C30*D30</f>
        <v>520</v>
      </c>
      <c r="J30" s="6">
        <v>1</v>
      </c>
      <c r="K30" s="6">
        <v>1.25</v>
      </c>
      <c r="L30" s="6">
        <v>25</v>
      </c>
      <c r="N30" s="16">
        <f t="shared" si="3"/>
        <v>0.8</v>
      </c>
    </row>
    <row r="31" spans="1:14" x14ac:dyDescent="0.15">
      <c r="A31" s="8">
        <v>20</v>
      </c>
      <c r="B31" s="8">
        <v>2</v>
      </c>
      <c r="C31" s="8">
        <v>62</v>
      </c>
      <c r="D31" s="8">
        <v>2</v>
      </c>
      <c r="E31" s="8">
        <f t="shared" si="4"/>
        <v>9920</v>
      </c>
      <c r="J31" s="6">
        <v>1</v>
      </c>
      <c r="K31" s="6">
        <v>1.5</v>
      </c>
      <c r="L31" s="6">
        <v>30</v>
      </c>
      <c r="N31" s="16">
        <f t="shared" si="3"/>
        <v>0.66666666666666663</v>
      </c>
    </row>
    <row r="32" spans="1:14" x14ac:dyDescent="0.15">
      <c r="A32" s="8">
        <v>30</v>
      </c>
      <c r="B32" s="8">
        <v>19</v>
      </c>
      <c r="C32" s="8">
        <v>20</v>
      </c>
      <c r="D32" s="8">
        <v>4</v>
      </c>
      <c r="E32" s="8">
        <f t="shared" si="4"/>
        <v>1258291200</v>
      </c>
      <c r="J32" s="6">
        <v>1</v>
      </c>
      <c r="K32" s="6">
        <v>1.75</v>
      </c>
      <c r="L32" s="6">
        <v>35</v>
      </c>
      <c r="N32" s="16">
        <f t="shared" si="3"/>
        <v>0.5714285714285714</v>
      </c>
    </row>
    <row r="33" spans="1:14" x14ac:dyDescent="0.15">
      <c r="E33" s="8"/>
      <c r="J33" s="6">
        <v>1</v>
      </c>
      <c r="K33" s="6">
        <v>2</v>
      </c>
      <c r="L33" s="6">
        <v>40</v>
      </c>
      <c r="N33" s="16">
        <f t="shared" si="3"/>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915</v>
      </c>
      <c r="C37" s="7" t="s">
        <v>916</v>
      </c>
      <c r="D37" s="7"/>
      <c r="E37" s="7"/>
      <c r="F37" s="7"/>
      <c r="J37" s="6">
        <v>1</v>
      </c>
      <c r="K37" s="6">
        <f>2^J37</f>
        <v>2</v>
      </c>
      <c r="L37" s="6">
        <f>3^J37</f>
        <v>3</v>
      </c>
      <c r="M37" s="6">
        <f>4^J37</f>
        <v>4</v>
      </c>
    </row>
    <row r="38" spans="1:14" x14ac:dyDescent="0.15">
      <c r="A38" s="8" t="s">
        <v>44</v>
      </c>
      <c r="B38" s="8">
        <v>5000</v>
      </c>
      <c r="C38" s="8">
        <v>300</v>
      </c>
      <c r="D38" s="8"/>
      <c r="E38" s="8"/>
      <c r="F38" s="9"/>
      <c r="J38" s="6">
        <v>2</v>
      </c>
      <c r="K38" s="6">
        <f t="shared" ref="K38:K52" si="5">2^J38</f>
        <v>4</v>
      </c>
      <c r="L38" s="6">
        <f t="shared" ref="L38:L52" si="6">3^J38</f>
        <v>9</v>
      </c>
      <c r="M38" s="6">
        <f t="shared" ref="M38:M43" si="7">4^J38</f>
        <v>16</v>
      </c>
    </row>
    <row r="39" spans="1:14" x14ac:dyDescent="0.15">
      <c r="A39" s="8" t="s">
        <v>349</v>
      </c>
      <c r="B39" s="8">
        <v>100000</v>
      </c>
      <c r="C39" s="8">
        <v>800</v>
      </c>
      <c r="D39" s="8"/>
      <c r="E39" s="8"/>
      <c r="F39" s="9"/>
      <c r="J39" s="6">
        <v>3</v>
      </c>
      <c r="K39" s="6">
        <f t="shared" si="5"/>
        <v>8</v>
      </c>
      <c r="L39" s="6">
        <f t="shared" si="6"/>
        <v>27</v>
      </c>
      <c r="M39" s="6">
        <f t="shared" si="7"/>
        <v>64</v>
      </c>
    </row>
    <row r="40" spans="1:14" x14ac:dyDescent="0.15">
      <c r="A40" s="8" t="s">
        <v>45</v>
      </c>
      <c r="B40" s="8">
        <v>5000000</v>
      </c>
      <c r="C40" s="8">
        <v>2000</v>
      </c>
      <c r="D40" s="8"/>
      <c r="E40" s="8"/>
      <c r="F40" s="9"/>
      <c r="J40" s="6">
        <v>4</v>
      </c>
      <c r="K40" s="6">
        <f t="shared" si="5"/>
        <v>16</v>
      </c>
      <c r="L40" s="6">
        <f t="shared" si="6"/>
        <v>81</v>
      </c>
      <c r="M40" s="6">
        <f t="shared" si="7"/>
        <v>256</v>
      </c>
    </row>
    <row r="41" spans="1:14" x14ac:dyDescent="0.15">
      <c r="A41" s="8" t="s">
        <v>350</v>
      </c>
      <c r="B41" s="8">
        <v>1000000000</v>
      </c>
      <c r="C41" s="8">
        <v>30000</v>
      </c>
      <c r="J41" s="6">
        <v>5</v>
      </c>
      <c r="K41" s="6">
        <f t="shared" si="5"/>
        <v>32</v>
      </c>
      <c r="L41" s="6">
        <f t="shared" si="6"/>
        <v>243</v>
      </c>
      <c r="M41" s="6">
        <f t="shared" si="7"/>
        <v>1024</v>
      </c>
    </row>
    <row r="42" spans="1:14" x14ac:dyDescent="0.15">
      <c r="J42" s="6">
        <v>6</v>
      </c>
      <c r="K42" s="6">
        <f t="shared" si="5"/>
        <v>64</v>
      </c>
      <c r="L42" s="6">
        <f t="shared" si="6"/>
        <v>729</v>
      </c>
      <c r="M42" s="6">
        <f t="shared" si="7"/>
        <v>4096</v>
      </c>
    </row>
    <row r="43" spans="1:14" x14ac:dyDescent="0.15">
      <c r="A43" s="7"/>
      <c r="B43" s="7"/>
      <c r="D43" s="7"/>
      <c r="E43" s="7"/>
      <c r="F43" s="7"/>
      <c r="J43" s="6">
        <v>7</v>
      </c>
      <c r="K43" s="6">
        <f t="shared" si="5"/>
        <v>128</v>
      </c>
      <c r="L43" s="6">
        <f t="shared" si="6"/>
        <v>2187</v>
      </c>
      <c r="M43" s="6">
        <f t="shared" si="7"/>
        <v>16384</v>
      </c>
    </row>
    <row r="44" spans="1:14" x14ac:dyDescent="0.15">
      <c r="A44" s="8"/>
      <c r="B44" s="8"/>
      <c r="D44" s="8"/>
      <c r="E44" s="8"/>
      <c r="F44" s="8"/>
      <c r="J44" s="6">
        <v>8</v>
      </c>
      <c r="K44" s="6">
        <f t="shared" si="5"/>
        <v>256</v>
      </c>
      <c r="L44" s="6">
        <f t="shared" si="6"/>
        <v>6561</v>
      </c>
    </row>
    <row r="45" spans="1:14" x14ac:dyDescent="0.15">
      <c r="A45" s="8"/>
      <c r="B45" s="8"/>
      <c r="D45" s="8"/>
      <c r="E45" s="8"/>
      <c r="F45" s="8"/>
      <c r="J45" s="6">
        <v>9</v>
      </c>
      <c r="K45" s="6">
        <f t="shared" si="5"/>
        <v>512</v>
      </c>
      <c r="L45" s="6">
        <f t="shared" si="6"/>
        <v>19683</v>
      </c>
    </row>
    <row r="46" spans="1:14" x14ac:dyDescent="0.15">
      <c r="A46" s="8"/>
      <c r="B46" s="8"/>
      <c r="D46" s="8"/>
      <c r="E46" s="8"/>
      <c r="F46" s="8"/>
      <c r="J46" s="6">
        <v>10</v>
      </c>
      <c r="K46" s="6">
        <f t="shared" si="5"/>
        <v>1024</v>
      </c>
      <c r="L46" s="6">
        <f t="shared" si="6"/>
        <v>59049</v>
      </c>
    </row>
    <row r="47" spans="1:14" x14ac:dyDescent="0.15">
      <c r="A47" s="8"/>
      <c r="B47" s="8"/>
      <c r="D47" s="8"/>
      <c r="E47" s="8"/>
      <c r="F47" s="8"/>
      <c r="J47" s="6">
        <v>11</v>
      </c>
      <c r="K47" s="6">
        <f t="shared" si="5"/>
        <v>2048</v>
      </c>
      <c r="L47" s="6">
        <f t="shared" si="6"/>
        <v>177147</v>
      </c>
    </row>
    <row r="48" spans="1:14" x14ac:dyDescent="0.15">
      <c r="A48" s="8"/>
      <c r="B48" s="8"/>
      <c r="D48" s="8"/>
      <c r="E48" s="8"/>
      <c r="F48" s="8"/>
      <c r="J48" s="6">
        <v>12</v>
      </c>
      <c r="K48" s="6">
        <f t="shared" si="5"/>
        <v>4096</v>
      </c>
      <c r="L48" s="6">
        <f t="shared" si="6"/>
        <v>531441</v>
      </c>
    </row>
    <row r="49" spans="1:12" x14ac:dyDescent="0.15">
      <c r="A49" s="8"/>
      <c r="B49" s="8"/>
      <c r="D49" s="8"/>
      <c r="E49" s="8"/>
      <c r="F49" s="8"/>
      <c r="J49" s="6">
        <v>13</v>
      </c>
      <c r="K49" s="6">
        <f t="shared" si="5"/>
        <v>8192</v>
      </c>
      <c r="L49" s="6">
        <f t="shared" si="6"/>
        <v>1594323</v>
      </c>
    </row>
    <row r="50" spans="1:12" x14ac:dyDescent="0.15">
      <c r="A50" s="8"/>
      <c r="B50" s="8"/>
      <c r="D50" s="8"/>
      <c r="E50" s="8"/>
      <c r="F50" s="8"/>
      <c r="J50" s="6">
        <v>14</v>
      </c>
      <c r="K50" s="6">
        <f t="shared" si="5"/>
        <v>16384</v>
      </c>
      <c r="L50" s="6">
        <f t="shared" si="6"/>
        <v>4782969</v>
      </c>
    </row>
    <row r="51" spans="1:12" x14ac:dyDescent="0.15">
      <c r="A51" s="8"/>
      <c r="B51" s="8"/>
      <c r="D51" s="8"/>
      <c r="E51" s="8"/>
      <c r="F51" s="8"/>
      <c r="J51" s="6">
        <v>15</v>
      </c>
      <c r="K51" s="6">
        <f t="shared" si="5"/>
        <v>32768</v>
      </c>
      <c r="L51" s="6">
        <f t="shared" si="6"/>
        <v>14348907</v>
      </c>
    </row>
    <row r="52" spans="1:12" x14ac:dyDescent="0.15">
      <c r="A52" s="7"/>
      <c r="J52" s="6">
        <v>16</v>
      </c>
      <c r="K52" s="6">
        <f t="shared" si="5"/>
        <v>65536</v>
      </c>
      <c r="L52" s="6">
        <f t="shared" si="6"/>
        <v>43046721</v>
      </c>
    </row>
    <row r="53" spans="1:12" x14ac:dyDescent="0.15">
      <c r="A53" s="8"/>
      <c r="J53" s="6">
        <v>17</v>
      </c>
      <c r="K53" s="6">
        <f t="shared" ref="K53" si="8">2^J53</f>
        <v>131072</v>
      </c>
      <c r="L53" s="6">
        <f t="shared" ref="L53" si="9">3^J53</f>
        <v>129140163</v>
      </c>
    </row>
    <row r="54" spans="1:12" x14ac:dyDescent="0.15">
      <c r="A54" s="8"/>
    </row>
    <row r="55" spans="1:12" x14ac:dyDescent="0.15">
      <c r="A55" s="8"/>
      <c r="I55" s="6">
        <v>1</v>
      </c>
      <c r="J55" s="6">
        <f>14100*I55</f>
        <v>14100</v>
      </c>
    </row>
    <row r="56" spans="1:12" x14ac:dyDescent="0.15">
      <c r="A56" s="8"/>
      <c r="I56" s="6">
        <f>I55*1.02</f>
        <v>1.02</v>
      </c>
      <c r="J56" s="6">
        <f t="shared" ref="J56:J74" si="10">14100*I56</f>
        <v>14382</v>
      </c>
    </row>
    <row r="57" spans="1:12" x14ac:dyDescent="0.15">
      <c r="A57" s="8"/>
      <c r="I57" s="6">
        <f t="shared" ref="I57:I74" si="11">I56*1.02</f>
        <v>1.0404</v>
      </c>
      <c r="J57" s="6">
        <f t="shared" si="10"/>
        <v>14669.64</v>
      </c>
    </row>
    <row r="58" spans="1:12" x14ac:dyDescent="0.15">
      <c r="A58" s="8"/>
      <c r="I58" s="6">
        <f t="shared" si="11"/>
        <v>1.0612079999999999</v>
      </c>
      <c r="J58" s="6">
        <f t="shared" si="10"/>
        <v>14963.032799999999</v>
      </c>
    </row>
    <row r="59" spans="1:12" x14ac:dyDescent="0.15">
      <c r="A59" s="8"/>
      <c r="I59" s="6">
        <f t="shared" si="11"/>
        <v>1.08243216</v>
      </c>
      <c r="J59" s="6">
        <f t="shared" si="10"/>
        <v>15262.293455999999</v>
      </c>
    </row>
    <row r="60" spans="1:12" x14ac:dyDescent="0.15">
      <c r="A60" s="8"/>
      <c r="I60" s="6">
        <f t="shared" si="11"/>
        <v>1.1040808032</v>
      </c>
      <c r="J60" s="6">
        <f t="shared" si="10"/>
        <v>15567.53932512</v>
      </c>
    </row>
    <row r="61" spans="1:12" x14ac:dyDescent="0.15">
      <c r="A61" s="8"/>
      <c r="I61" s="6">
        <f t="shared" si="11"/>
        <v>1.1261624192640001</v>
      </c>
      <c r="J61" s="6">
        <f t="shared" si="10"/>
        <v>15878.890111622401</v>
      </c>
    </row>
    <row r="62" spans="1:12" x14ac:dyDescent="0.15">
      <c r="A62" s="8"/>
      <c r="I62" s="6">
        <f t="shared" si="11"/>
        <v>1.14868566764928</v>
      </c>
      <c r="J62" s="6">
        <f t="shared" si="10"/>
        <v>16196.467913854849</v>
      </c>
    </row>
    <row r="63" spans="1:12" x14ac:dyDescent="0.15">
      <c r="A63" s="8"/>
      <c r="I63" s="6">
        <f>I62*1.02</f>
        <v>1.1716593810022657</v>
      </c>
      <c r="J63" s="6">
        <f t="shared" si="10"/>
        <v>16520.397272131948</v>
      </c>
    </row>
    <row r="64" spans="1:12" x14ac:dyDescent="0.15">
      <c r="A64" s="8"/>
      <c r="I64" s="6">
        <f t="shared" si="11"/>
        <v>1.1950925686223111</v>
      </c>
      <c r="J64" s="6">
        <f t="shared" si="10"/>
        <v>16850.805217574587</v>
      </c>
    </row>
    <row r="65" spans="1:10" x14ac:dyDescent="0.15">
      <c r="A65" s="8"/>
      <c r="I65" s="6">
        <f t="shared" si="11"/>
        <v>1.2189944199947573</v>
      </c>
      <c r="J65" s="6">
        <f t="shared" si="10"/>
        <v>17187.82132192608</v>
      </c>
    </row>
    <row r="66" spans="1:10" x14ac:dyDescent="0.15">
      <c r="A66" s="8"/>
      <c r="I66" s="6">
        <f t="shared" si="11"/>
        <v>1.2433743083946525</v>
      </c>
      <c r="J66" s="6">
        <f t="shared" si="10"/>
        <v>17531.577748364598</v>
      </c>
    </row>
    <row r="67" spans="1:10" x14ac:dyDescent="0.15">
      <c r="A67" s="8"/>
      <c r="I67" s="6">
        <f t="shared" si="11"/>
        <v>1.2682417945625455</v>
      </c>
      <c r="J67" s="6">
        <f t="shared" si="10"/>
        <v>17882.209303331892</v>
      </c>
    </row>
    <row r="68" spans="1:10" x14ac:dyDescent="0.15">
      <c r="I68" s="6">
        <f t="shared" si="11"/>
        <v>1.2936066304537963</v>
      </c>
      <c r="J68" s="6">
        <f t="shared" si="10"/>
        <v>18239.853489398527</v>
      </c>
    </row>
    <row r="69" spans="1:10" x14ac:dyDescent="0.15">
      <c r="I69" s="6">
        <f t="shared" si="11"/>
        <v>1.3194787630628724</v>
      </c>
      <c r="J69" s="6">
        <f t="shared" si="10"/>
        <v>18604.650559186499</v>
      </c>
    </row>
    <row r="70" spans="1:10" x14ac:dyDescent="0.15">
      <c r="I70" s="6">
        <f t="shared" si="11"/>
        <v>1.3458683383241299</v>
      </c>
      <c r="J70" s="6">
        <f t="shared" si="10"/>
        <v>18976.743570370232</v>
      </c>
    </row>
    <row r="71" spans="1:10" x14ac:dyDescent="0.15">
      <c r="I71" s="6">
        <f t="shared" si="11"/>
        <v>1.3727857050906125</v>
      </c>
      <c r="J71" s="6">
        <f t="shared" si="10"/>
        <v>19356.278441777635</v>
      </c>
    </row>
    <row r="72" spans="1:10" x14ac:dyDescent="0.15">
      <c r="I72" s="6">
        <f t="shared" si="11"/>
        <v>1.4002414191924248</v>
      </c>
      <c r="J72" s="6">
        <f t="shared" si="10"/>
        <v>19743.404010613191</v>
      </c>
    </row>
    <row r="73" spans="1:10" x14ac:dyDescent="0.15">
      <c r="I73" s="6">
        <f t="shared" si="11"/>
        <v>1.4282462475762734</v>
      </c>
      <c r="J73" s="6">
        <f t="shared" si="10"/>
        <v>20138.272090825456</v>
      </c>
    </row>
    <row r="74" spans="1:10" x14ac:dyDescent="0.15">
      <c r="I74" s="6">
        <f t="shared" si="11"/>
        <v>1.4568111725277988</v>
      </c>
      <c r="J74" s="6">
        <f t="shared" si="10"/>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abSelected="1" zoomScale="130" zoomScaleNormal="130" workbookViewId="0">
      <selection activeCell="G15" sqref="G15"/>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22.375" style="6" customWidth="1"/>
    <col min="8" max="8" width="27.625" style="6" bestFit="1" customWidth="1"/>
    <col min="9" max="10" width="16.375" style="6" customWidth="1"/>
    <col min="11" max="12" width="9.875" style="6" customWidth="1"/>
    <col min="13" max="16384" width="9" style="6"/>
  </cols>
  <sheetData>
    <row r="1" spans="1:9" x14ac:dyDescent="0.15">
      <c r="A1" s="7" t="s">
        <v>46</v>
      </c>
      <c r="B1" s="7" t="s">
        <v>84</v>
      </c>
      <c r="C1" s="7" t="s">
        <v>85</v>
      </c>
      <c r="D1" s="24" t="s">
        <v>282</v>
      </c>
      <c r="E1" s="7" t="s">
        <v>86</v>
      </c>
      <c r="F1" s="24" t="s">
        <v>258</v>
      </c>
      <c r="G1" s="7" t="s">
        <v>1027</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1016</v>
      </c>
    </row>
    <row r="7" spans="1:9" x14ac:dyDescent="0.15">
      <c r="A7" s="8">
        <v>6</v>
      </c>
      <c r="B7" s="8" t="s">
        <v>95</v>
      </c>
      <c r="C7" s="9" t="s">
        <v>96</v>
      </c>
      <c r="D7" s="8">
        <v>1</v>
      </c>
      <c r="E7" s="8">
        <v>200</v>
      </c>
      <c r="F7" s="6" t="s">
        <v>1045</v>
      </c>
      <c r="I7" s="17"/>
    </row>
    <row r="8" spans="1:9" x14ac:dyDescent="0.15">
      <c r="A8" s="8">
        <v>7</v>
      </c>
      <c r="B8" s="52" t="s">
        <v>713</v>
      </c>
      <c r="C8" s="9" t="s">
        <v>98</v>
      </c>
      <c r="E8" s="8">
        <v>200</v>
      </c>
      <c r="F8" s="6" t="s">
        <v>1017</v>
      </c>
    </row>
    <row r="9" spans="1:9" x14ac:dyDescent="0.15">
      <c r="A9" s="8">
        <v>8</v>
      </c>
      <c r="B9" s="8" t="s">
        <v>1037</v>
      </c>
      <c r="C9" s="9" t="s">
        <v>100</v>
      </c>
      <c r="D9" s="8">
        <v>1</v>
      </c>
      <c r="E9" s="8">
        <v>200</v>
      </c>
      <c r="F9" s="6" t="s">
        <v>351</v>
      </c>
      <c r="G9" s="6" t="s">
        <v>1039</v>
      </c>
      <c r="I9" s="54" t="s">
        <v>1028</v>
      </c>
    </row>
    <row r="10" spans="1:9" x14ac:dyDescent="0.15">
      <c r="A10" s="8">
        <v>9</v>
      </c>
      <c r="B10" s="8" t="s">
        <v>280</v>
      </c>
      <c r="C10" s="19" t="s">
        <v>279</v>
      </c>
      <c r="D10" s="18">
        <v>1</v>
      </c>
      <c r="E10" s="8">
        <v>200</v>
      </c>
      <c r="F10" s="17" t="s">
        <v>278</v>
      </c>
      <c r="G10" s="6" t="s">
        <v>1039</v>
      </c>
      <c r="I10" s="54" t="s">
        <v>1028</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c r="G12" s="6" t="s">
        <v>1019</v>
      </c>
      <c r="I12" s="54" t="s">
        <v>1029</v>
      </c>
    </row>
    <row r="13" spans="1:9" x14ac:dyDescent="0.15">
      <c r="A13" s="8">
        <v>12</v>
      </c>
      <c r="B13" s="52" t="s">
        <v>107</v>
      </c>
      <c r="C13" s="9" t="s">
        <v>347</v>
      </c>
      <c r="E13" s="8">
        <v>200</v>
      </c>
      <c r="F13" s="6" t="s">
        <v>250</v>
      </c>
      <c r="G13" s="6" t="s">
        <v>1020</v>
      </c>
      <c r="I13" s="54" t="s">
        <v>1030</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10" x14ac:dyDescent="0.15">
      <c r="A17" s="8">
        <v>16</v>
      </c>
      <c r="B17" s="51" t="s">
        <v>244</v>
      </c>
      <c r="C17" s="19" t="s">
        <v>245</v>
      </c>
      <c r="D17" s="18"/>
      <c r="E17" s="8">
        <v>200</v>
      </c>
      <c r="F17" s="6" t="s">
        <v>364</v>
      </c>
    </row>
    <row r="18" spans="1:10" x14ac:dyDescent="0.15">
      <c r="A18" s="8">
        <v>17</v>
      </c>
      <c r="B18" s="8" t="s">
        <v>114</v>
      </c>
      <c r="C18" s="9" t="s">
        <v>115</v>
      </c>
      <c r="D18" s="8">
        <v>1</v>
      </c>
      <c r="E18" s="8">
        <v>200</v>
      </c>
      <c r="F18" s="6" t="s">
        <v>356</v>
      </c>
    </row>
    <row r="19" spans="1:10" x14ac:dyDescent="0.15">
      <c r="A19" s="8">
        <v>18</v>
      </c>
      <c r="B19" s="18" t="s">
        <v>242</v>
      </c>
      <c r="C19" s="19" t="s">
        <v>243</v>
      </c>
      <c r="D19" s="18">
        <v>1</v>
      </c>
      <c r="E19" s="8">
        <v>200</v>
      </c>
      <c r="F19" s="6" t="s">
        <v>357</v>
      </c>
    </row>
    <row r="20" spans="1:10" x14ac:dyDescent="0.15">
      <c r="A20" s="8">
        <v>19</v>
      </c>
      <c r="B20" s="51" t="s">
        <v>259</v>
      </c>
      <c r="C20" s="19" t="s">
        <v>260</v>
      </c>
      <c r="D20" s="18"/>
      <c r="E20" s="8">
        <v>200</v>
      </c>
      <c r="F20" s="6" t="s">
        <v>358</v>
      </c>
      <c r="G20" s="6" t="s">
        <v>1019</v>
      </c>
      <c r="I20" s="54" t="s">
        <v>1029</v>
      </c>
    </row>
    <row r="21" spans="1:10" x14ac:dyDescent="0.15">
      <c r="A21" s="8">
        <v>20</v>
      </c>
      <c r="B21" s="8" t="s">
        <v>116</v>
      </c>
      <c r="C21" s="9" t="s">
        <v>117</v>
      </c>
      <c r="D21" s="8">
        <v>1</v>
      </c>
      <c r="E21" s="8">
        <v>200</v>
      </c>
      <c r="F21" s="6" t="s">
        <v>370</v>
      </c>
      <c r="G21" s="17"/>
    </row>
    <row r="22" spans="1:10" x14ac:dyDescent="0.15">
      <c r="A22" s="8">
        <v>21</v>
      </c>
      <c r="B22" s="8" t="s">
        <v>108</v>
      </c>
      <c r="C22" s="9" t="s">
        <v>109</v>
      </c>
      <c r="D22" s="8">
        <v>1</v>
      </c>
      <c r="E22" s="8">
        <v>200</v>
      </c>
      <c r="F22" s="6" t="s">
        <v>991</v>
      </c>
    </row>
    <row r="23" spans="1:10" x14ac:dyDescent="0.15">
      <c r="A23" s="8">
        <v>22</v>
      </c>
      <c r="B23" s="51" t="s">
        <v>283</v>
      </c>
      <c r="C23" s="9" t="s">
        <v>111</v>
      </c>
      <c r="E23" s="8">
        <v>200</v>
      </c>
      <c r="F23" s="6" t="s">
        <v>251</v>
      </c>
    </row>
    <row r="24" spans="1:10" x14ac:dyDescent="0.15">
      <c r="A24" s="8">
        <v>23</v>
      </c>
      <c r="B24" s="18" t="s">
        <v>327</v>
      </c>
      <c r="C24" s="19" t="s">
        <v>328</v>
      </c>
      <c r="D24" s="18">
        <v>1</v>
      </c>
      <c r="E24" s="8">
        <v>200</v>
      </c>
      <c r="F24" s="6" t="s">
        <v>1021</v>
      </c>
      <c r="G24" s="6" t="s">
        <v>1022</v>
      </c>
      <c r="I24" s="54" t="s">
        <v>1031</v>
      </c>
    </row>
    <row r="25" spans="1:10" x14ac:dyDescent="0.15">
      <c r="A25" s="8">
        <v>24</v>
      </c>
      <c r="B25" s="51" t="s">
        <v>234</v>
      </c>
      <c r="C25" s="26" t="s">
        <v>110</v>
      </c>
      <c r="E25" s="8">
        <v>200</v>
      </c>
      <c r="F25" s="6" t="s">
        <v>1044</v>
      </c>
      <c r="G25" s="6" t="s">
        <v>1025</v>
      </c>
      <c r="H25" s="6" t="s">
        <v>1026</v>
      </c>
      <c r="I25" s="54" t="s">
        <v>1032</v>
      </c>
      <c r="J25" s="54" t="s">
        <v>1033</v>
      </c>
    </row>
    <row r="26" spans="1:10" s="2" customFormat="1" ht="15.75" x14ac:dyDescent="0.15">
      <c r="A26" s="10">
        <v>1</v>
      </c>
      <c r="B26" s="1" t="s">
        <v>118</v>
      </c>
      <c r="C26" s="9" t="s">
        <v>119</v>
      </c>
      <c r="D26" s="8">
        <v>1</v>
      </c>
      <c r="E26" s="8">
        <v>300</v>
      </c>
      <c r="F26" s="2" t="s">
        <v>1015</v>
      </c>
    </row>
    <row r="27" spans="1:10" ht="15.75" x14ac:dyDescent="0.15">
      <c r="A27" s="10">
        <v>2</v>
      </c>
      <c r="B27" s="55" t="s">
        <v>903</v>
      </c>
      <c r="C27" s="9" t="s">
        <v>907</v>
      </c>
      <c r="D27" s="8">
        <v>1</v>
      </c>
      <c r="E27" s="8">
        <v>300</v>
      </c>
      <c r="F27" s="2" t="s">
        <v>1046</v>
      </c>
    </row>
    <row r="28" spans="1:10" x14ac:dyDescent="0.15">
      <c r="A28" s="10">
        <v>3</v>
      </c>
      <c r="B28" s="8" t="s">
        <v>1038</v>
      </c>
      <c r="C28" s="9" t="s">
        <v>123</v>
      </c>
      <c r="D28" s="8">
        <v>1</v>
      </c>
      <c r="E28" s="8">
        <v>300</v>
      </c>
      <c r="F28" s="6" t="s">
        <v>711</v>
      </c>
      <c r="G28" s="6" t="s">
        <v>1039</v>
      </c>
      <c r="I28" s="54" t="s">
        <v>1028</v>
      </c>
    </row>
    <row r="29" spans="1:10" x14ac:dyDescent="0.15">
      <c r="A29" s="10">
        <v>4</v>
      </c>
      <c r="B29" s="52" t="s">
        <v>124</v>
      </c>
      <c r="C29" s="9" t="s">
        <v>125</v>
      </c>
      <c r="E29" s="8">
        <v>300</v>
      </c>
      <c r="F29" s="6" t="s">
        <v>362</v>
      </c>
      <c r="G29" s="6" t="s">
        <v>1023</v>
      </c>
      <c r="I29" s="54" t="s">
        <v>1034</v>
      </c>
    </row>
    <row r="30" spans="1:10" x14ac:dyDescent="0.15">
      <c r="A30" s="10">
        <v>5</v>
      </c>
      <c r="B30" s="51" t="s">
        <v>205</v>
      </c>
      <c r="C30" s="9" t="s">
        <v>126</v>
      </c>
      <c r="E30" s="8">
        <v>300</v>
      </c>
      <c r="F30" s="6" t="s">
        <v>363</v>
      </c>
    </row>
    <row r="31" spans="1:10" x14ac:dyDescent="0.15">
      <c r="A31" s="10">
        <v>6</v>
      </c>
      <c r="B31" s="52" t="s">
        <v>127</v>
      </c>
      <c r="C31" s="9" t="s">
        <v>128</v>
      </c>
      <c r="E31" s="8">
        <v>300</v>
      </c>
      <c r="F31" s="17" t="s">
        <v>254</v>
      </c>
      <c r="G31" s="6" t="s">
        <v>1024</v>
      </c>
      <c r="H31" s="6" t="s">
        <v>1040</v>
      </c>
      <c r="I31" s="54" t="s">
        <v>1035</v>
      </c>
      <c r="J31" s="54" t="s">
        <v>1036</v>
      </c>
    </row>
    <row r="32" spans="1:10" x14ac:dyDescent="0.15">
      <c r="A32" s="10">
        <v>7</v>
      </c>
      <c r="B32" s="18" t="s">
        <v>206</v>
      </c>
      <c r="C32" s="9" t="s">
        <v>129</v>
      </c>
      <c r="D32" s="8">
        <v>1</v>
      </c>
      <c r="E32" s="8">
        <v>300</v>
      </c>
      <c r="F32" s="6" t="s">
        <v>375</v>
      </c>
    </row>
    <row r="33" spans="1:9" x14ac:dyDescent="0.15">
      <c r="A33" s="10">
        <v>8</v>
      </c>
      <c r="B33" s="52" t="s">
        <v>130</v>
      </c>
      <c r="C33" s="9" t="s">
        <v>131</v>
      </c>
      <c r="E33" s="8">
        <v>300</v>
      </c>
      <c r="F33" s="6" t="s">
        <v>376</v>
      </c>
    </row>
    <row r="34" spans="1:9" x14ac:dyDescent="0.15">
      <c r="A34" s="10">
        <v>9</v>
      </c>
      <c r="B34" s="18" t="s">
        <v>236</v>
      </c>
      <c r="C34" s="19" t="s">
        <v>235</v>
      </c>
      <c r="D34" s="18">
        <v>1</v>
      </c>
      <c r="E34" s="8">
        <v>300</v>
      </c>
      <c r="F34" s="6" t="s">
        <v>1002</v>
      </c>
    </row>
    <row r="35" spans="1:9" x14ac:dyDescent="0.15">
      <c r="A35" s="10">
        <v>10</v>
      </c>
      <c r="B35" s="18" t="s">
        <v>261</v>
      </c>
      <c r="C35" s="19" t="s">
        <v>264</v>
      </c>
      <c r="D35" s="18">
        <v>1</v>
      </c>
      <c r="E35" s="8">
        <v>300</v>
      </c>
      <c r="F35" s="9" t="s">
        <v>377</v>
      </c>
    </row>
    <row r="36" spans="1:9" x14ac:dyDescent="0.15">
      <c r="A36" s="10">
        <v>11</v>
      </c>
      <c r="B36" s="18" t="s">
        <v>262</v>
      </c>
      <c r="C36" s="19" t="s">
        <v>265</v>
      </c>
      <c r="D36" s="18">
        <v>1</v>
      </c>
      <c r="E36" s="8">
        <v>300</v>
      </c>
      <c r="F36" s="9" t="s">
        <v>378</v>
      </c>
    </row>
    <row r="37" spans="1:9" x14ac:dyDescent="0.15">
      <c r="A37" s="10">
        <v>12</v>
      </c>
      <c r="B37" s="18" t="s">
        <v>263</v>
      </c>
      <c r="C37" s="19" t="s">
        <v>266</v>
      </c>
      <c r="D37" s="18">
        <v>1</v>
      </c>
      <c r="E37" s="8">
        <v>300</v>
      </c>
      <c r="F37" s="9" t="s">
        <v>379</v>
      </c>
    </row>
    <row r="38" spans="1:9" x14ac:dyDescent="0.15">
      <c r="A38" s="10">
        <v>13</v>
      </c>
      <c r="B38" s="52" t="s">
        <v>132</v>
      </c>
      <c r="C38" s="9" t="s">
        <v>133</v>
      </c>
      <c r="E38" s="8">
        <v>300</v>
      </c>
      <c r="F38" s="6" t="s">
        <v>653</v>
      </c>
    </row>
    <row r="39" spans="1:9" x14ac:dyDescent="0.15">
      <c r="A39" s="10">
        <v>14</v>
      </c>
      <c r="B39" s="52" t="s">
        <v>343</v>
      </c>
      <c r="C39" s="9" t="s">
        <v>344</v>
      </c>
      <c r="E39" s="8">
        <v>300</v>
      </c>
      <c r="F39" s="6" t="s">
        <v>381</v>
      </c>
    </row>
    <row r="40" spans="1:9" x14ac:dyDescent="0.15">
      <c r="A40" s="10">
        <v>15</v>
      </c>
      <c r="B40" s="51" t="s">
        <v>267</v>
      </c>
      <c r="C40" s="27" t="s">
        <v>268</v>
      </c>
      <c r="D40" s="18"/>
      <c r="E40" s="8">
        <v>8000</v>
      </c>
      <c r="F40" s="6" t="s">
        <v>380</v>
      </c>
    </row>
    <row r="41" spans="1:9" x14ac:dyDescent="0.15">
      <c r="A41" s="10">
        <v>16</v>
      </c>
      <c r="B41" s="52" t="s">
        <v>134</v>
      </c>
      <c r="C41" s="26" t="s">
        <v>135</v>
      </c>
      <c r="E41" s="8">
        <v>12000</v>
      </c>
      <c r="F41" s="6" t="s">
        <v>382</v>
      </c>
      <c r="G41" s="6" t="s">
        <v>1039</v>
      </c>
      <c r="I41" s="54" t="s">
        <v>1028</v>
      </c>
    </row>
    <row r="42" spans="1:9" x14ac:dyDescent="0.15">
      <c r="A42" s="6"/>
      <c r="B42" s="6"/>
      <c r="C42" s="6"/>
      <c r="E42" s="6"/>
      <c r="F42" s="6"/>
    </row>
    <row r="43" spans="1:9" x14ac:dyDescent="0.15">
      <c r="A43" s="6"/>
      <c r="B43" s="6"/>
      <c r="C43" s="6"/>
      <c r="E43" s="6"/>
      <c r="F43" s="6"/>
    </row>
    <row r="44" spans="1:9" x14ac:dyDescent="0.15">
      <c r="A44" s="6"/>
      <c r="B44" s="6"/>
      <c r="C44" s="6"/>
      <c r="E44" s="6"/>
      <c r="F44" s="6"/>
    </row>
    <row r="45" spans="1:9" x14ac:dyDescent="0.15">
      <c r="A45" s="6"/>
      <c r="B45" s="6"/>
      <c r="C45" s="6"/>
      <c r="E45" s="6"/>
      <c r="F45" s="6"/>
    </row>
    <row r="46" spans="1:9" x14ac:dyDescent="0.15">
      <c r="A46" s="6"/>
      <c r="B46" s="6"/>
      <c r="C46" s="6"/>
      <c r="E46" s="6"/>
      <c r="F46" s="6"/>
    </row>
    <row r="47" spans="1:9" x14ac:dyDescent="0.15">
      <c r="A47" s="6"/>
      <c r="B47" s="6"/>
      <c r="C47" s="6"/>
      <c r="E47" s="6"/>
      <c r="F47" s="6"/>
    </row>
    <row r="48" spans="1:9"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zoomScale="145" zoomScaleNormal="145" workbookViewId="0">
      <selection activeCell="H16" sqref="H16"/>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1003</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1008</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1043</v>
      </c>
    </row>
    <row r="22" spans="1:14" x14ac:dyDescent="0.15">
      <c r="A22" s="8">
        <v>21</v>
      </c>
      <c r="B22" s="8">
        <v>21</v>
      </c>
      <c r="C22" s="17" t="s">
        <v>274</v>
      </c>
      <c r="D22" s="28" t="s">
        <v>294</v>
      </c>
      <c r="E22" s="8">
        <v>1</v>
      </c>
      <c r="F22" s="8">
        <v>500</v>
      </c>
      <c r="G22" s="8"/>
      <c r="H22" s="6" t="s">
        <v>714</v>
      </c>
    </row>
    <row r="23" spans="1:14" x14ac:dyDescent="0.15">
      <c r="A23" s="8">
        <v>22</v>
      </c>
      <c r="B23" s="8">
        <v>22</v>
      </c>
      <c r="C23" s="9" t="s">
        <v>146</v>
      </c>
      <c r="D23" s="18" t="s">
        <v>248</v>
      </c>
      <c r="E23" s="8">
        <v>1</v>
      </c>
      <c r="F23" s="8">
        <v>500</v>
      </c>
      <c r="G23" s="8"/>
      <c r="H23" s="6" t="s">
        <v>1010</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904</v>
      </c>
      <c r="D27" s="8" t="s">
        <v>905</v>
      </c>
      <c r="E27" s="8">
        <v>1</v>
      </c>
      <c r="F27" s="8">
        <v>500</v>
      </c>
      <c r="G27" s="8"/>
      <c r="H27" s="6" t="s">
        <v>906</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30</v>
      </c>
      <c r="C31" s="48" t="s">
        <v>147</v>
      </c>
      <c r="D31" s="8" t="s">
        <v>220</v>
      </c>
      <c r="F31" s="8">
        <v>500</v>
      </c>
      <c r="G31" s="8">
        <v>4</v>
      </c>
      <c r="H31" s="6" t="s">
        <v>398</v>
      </c>
      <c r="J31" s="6">
        <v>10</v>
      </c>
    </row>
    <row r="32" spans="1:14" x14ac:dyDescent="0.15">
      <c r="A32" s="8">
        <v>31</v>
      </c>
      <c r="B32" s="8">
        <v>31</v>
      </c>
      <c r="C32" s="9" t="s">
        <v>164</v>
      </c>
      <c r="D32" s="8" t="s">
        <v>165</v>
      </c>
      <c r="E32" s="8">
        <v>1</v>
      </c>
      <c r="F32" s="8">
        <v>500</v>
      </c>
      <c r="G32" s="8">
        <v>5</v>
      </c>
      <c r="H32" s="6" t="s">
        <v>1041</v>
      </c>
    </row>
    <row r="33" spans="1:14" x14ac:dyDescent="0.15">
      <c r="A33" s="8">
        <v>32</v>
      </c>
      <c r="B33" s="8">
        <v>32</v>
      </c>
      <c r="C33" s="49" t="s">
        <v>228</v>
      </c>
      <c r="D33" s="8" t="s">
        <v>229</v>
      </c>
      <c r="F33" s="8">
        <v>500</v>
      </c>
      <c r="G33" s="8">
        <v>6</v>
      </c>
      <c r="H33" s="6" t="s">
        <v>1009</v>
      </c>
    </row>
    <row r="34" spans="1:14" x14ac:dyDescent="0.15">
      <c r="A34" s="8">
        <v>33</v>
      </c>
      <c r="B34" s="8">
        <v>33</v>
      </c>
      <c r="C34" s="47" t="s">
        <v>272</v>
      </c>
      <c r="D34" s="28" t="s">
        <v>296</v>
      </c>
      <c r="F34" s="8">
        <v>500</v>
      </c>
      <c r="G34" s="8">
        <v>8</v>
      </c>
      <c r="H34" s="6" t="s">
        <v>712</v>
      </c>
      <c r="I34" s="6">
        <v>1</v>
      </c>
      <c r="J34" s="6">
        <f>2^(I34)</f>
        <v>2</v>
      </c>
      <c r="K34" s="6">
        <f t="shared" ref="K34:K40" si="0">$J$31*J34</f>
        <v>20</v>
      </c>
      <c r="M34" s="6">
        <f>4^(I34)</f>
        <v>4</v>
      </c>
      <c r="N34" s="6">
        <f t="shared" ref="N34:N40" si="1">$J$31*M34</f>
        <v>40</v>
      </c>
    </row>
    <row r="35" spans="1:14" x14ac:dyDescent="0.15">
      <c r="A35" s="8">
        <v>34</v>
      </c>
      <c r="B35" s="8">
        <v>34</v>
      </c>
      <c r="C35" s="47" t="s">
        <v>217</v>
      </c>
      <c r="D35" s="28" t="s">
        <v>232</v>
      </c>
      <c r="F35" s="8">
        <v>500</v>
      </c>
      <c r="G35" s="8">
        <v>8</v>
      </c>
      <c r="H35" s="6" t="s">
        <v>1007</v>
      </c>
      <c r="I35" s="6">
        <v>2</v>
      </c>
      <c r="J35" s="6">
        <f t="shared" ref="J35:J40" si="2">2^(I35)</f>
        <v>4</v>
      </c>
      <c r="K35" s="6">
        <f t="shared" si="0"/>
        <v>40</v>
      </c>
      <c r="M35" s="6">
        <f t="shared" ref="M35:M40" si="3">4^(I35)</f>
        <v>16</v>
      </c>
      <c r="N35" s="6">
        <f t="shared" si="1"/>
        <v>160</v>
      </c>
    </row>
    <row r="36" spans="1:14" x14ac:dyDescent="0.15">
      <c r="A36" s="8">
        <v>35</v>
      </c>
      <c r="B36" s="8">
        <v>35</v>
      </c>
      <c r="C36" s="47" t="s">
        <v>297</v>
      </c>
      <c r="D36" s="28" t="s">
        <v>298</v>
      </c>
      <c r="F36" s="8">
        <v>500</v>
      </c>
      <c r="G36" s="8">
        <v>16</v>
      </c>
      <c r="H36" s="6" t="s">
        <v>403</v>
      </c>
      <c r="I36" s="6">
        <v>3</v>
      </c>
      <c r="J36" s="6">
        <f t="shared" si="2"/>
        <v>8</v>
      </c>
      <c r="K36" s="6">
        <f t="shared" si="0"/>
        <v>80</v>
      </c>
      <c r="M36" s="6">
        <f t="shared" si="3"/>
        <v>64</v>
      </c>
      <c r="N36" s="6">
        <f t="shared" si="1"/>
        <v>640</v>
      </c>
    </row>
    <row r="37" spans="1:14" x14ac:dyDescent="0.15">
      <c r="A37" s="8">
        <v>36</v>
      </c>
      <c r="B37" s="8">
        <v>36</v>
      </c>
      <c r="C37" s="47" t="s">
        <v>275</v>
      </c>
      <c r="D37" s="28" t="s">
        <v>292</v>
      </c>
      <c r="F37" s="8">
        <v>500</v>
      </c>
      <c r="G37" s="8" t="s">
        <v>400</v>
      </c>
      <c r="H37" s="6" t="s">
        <v>281</v>
      </c>
      <c r="I37" s="6">
        <v>4</v>
      </c>
      <c r="J37" s="6">
        <f t="shared" si="2"/>
        <v>16</v>
      </c>
      <c r="K37" s="6">
        <f t="shared" si="0"/>
        <v>160</v>
      </c>
      <c r="M37" s="6">
        <f t="shared" si="3"/>
        <v>256</v>
      </c>
      <c r="N37" s="6">
        <f t="shared" si="1"/>
        <v>2560</v>
      </c>
    </row>
    <row r="38" spans="1:14" x14ac:dyDescent="0.15">
      <c r="A38" s="8">
        <v>37</v>
      </c>
      <c r="B38" s="8">
        <v>37</v>
      </c>
      <c r="C38" s="47" t="s">
        <v>269</v>
      </c>
      <c r="D38" s="28" t="s">
        <v>270</v>
      </c>
      <c r="F38" s="8">
        <v>500</v>
      </c>
      <c r="G38" s="8"/>
      <c r="H38" s="6" t="s">
        <v>401</v>
      </c>
      <c r="I38" s="6">
        <v>5</v>
      </c>
      <c r="J38" s="6">
        <f t="shared" si="2"/>
        <v>32</v>
      </c>
      <c r="K38" s="6">
        <f t="shared" si="0"/>
        <v>320</v>
      </c>
      <c r="M38" s="6">
        <f t="shared" si="3"/>
        <v>1024</v>
      </c>
      <c r="N38" s="6">
        <f t="shared" si="1"/>
        <v>10240</v>
      </c>
    </row>
    <row r="39" spans="1:14" x14ac:dyDescent="0.15">
      <c r="A39" s="8">
        <v>38</v>
      </c>
      <c r="B39" s="8">
        <v>38</v>
      </c>
      <c r="C39" s="47" t="s">
        <v>240</v>
      </c>
      <c r="D39" s="32" t="s">
        <v>231</v>
      </c>
      <c r="F39" s="8">
        <v>12000</v>
      </c>
      <c r="G39" s="8"/>
      <c r="H39" s="17" t="s">
        <v>256</v>
      </c>
      <c r="I39" s="6">
        <v>6</v>
      </c>
      <c r="J39" s="6">
        <f t="shared" si="2"/>
        <v>64</v>
      </c>
      <c r="K39" s="6">
        <f t="shared" si="0"/>
        <v>640</v>
      </c>
      <c r="M39" s="6">
        <f t="shared" si="3"/>
        <v>4096</v>
      </c>
      <c r="N39" s="6">
        <f t="shared" si="1"/>
        <v>40960</v>
      </c>
    </row>
    <row r="40" spans="1:14" x14ac:dyDescent="0.15">
      <c r="A40" s="8">
        <v>39</v>
      </c>
      <c r="B40" s="8">
        <v>39</v>
      </c>
      <c r="C40" s="47" t="s">
        <v>212</v>
      </c>
      <c r="D40" s="33" t="s">
        <v>166</v>
      </c>
      <c r="F40" s="8">
        <v>12000</v>
      </c>
      <c r="G40" s="8"/>
      <c r="H40" s="6" t="s">
        <v>213</v>
      </c>
      <c r="I40" s="6">
        <v>7</v>
      </c>
      <c r="J40" s="6">
        <f t="shared" si="2"/>
        <v>128</v>
      </c>
      <c r="K40" s="6">
        <f t="shared" si="0"/>
        <v>1280</v>
      </c>
      <c r="M40" s="6">
        <f t="shared" si="3"/>
        <v>16384</v>
      </c>
      <c r="N40" s="6">
        <f t="shared" si="1"/>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3"/>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923</v>
      </c>
      <c r="E2" s="9" t="s">
        <v>172</v>
      </c>
    </row>
    <row r="3" spans="1:5" x14ac:dyDescent="0.15">
      <c r="A3" s="8">
        <v>2</v>
      </c>
      <c r="B3" s="8">
        <v>1</v>
      </c>
      <c r="C3" s="8">
        <v>100</v>
      </c>
      <c r="D3" s="8" t="s">
        <v>924</v>
      </c>
      <c r="E3" s="9" t="s">
        <v>909</v>
      </c>
    </row>
    <row r="4" spans="1:5" x14ac:dyDescent="0.15">
      <c r="A4" s="8">
        <v>3</v>
      </c>
      <c r="B4" s="8">
        <v>2</v>
      </c>
      <c r="C4" s="8">
        <v>300</v>
      </c>
      <c r="D4" s="8" t="s">
        <v>925</v>
      </c>
      <c r="E4" s="9" t="s">
        <v>910</v>
      </c>
    </row>
    <row r="5" spans="1:5" x14ac:dyDescent="0.15">
      <c r="A5" s="8">
        <v>4</v>
      </c>
      <c r="B5" s="8">
        <v>3</v>
      </c>
      <c r="C5" s="8">
        <v>800</v>
      </c>
      <c r="D5" s="8" t="s">
        <v>926</v>
      </c>
      <c r="E5" s="9" t="s">
        <v>908</v>
      </c>
    </row>
    <row r="6" spans="1:5" x14ac:dyDescent="0.15">
      <c r="A6" s="8">
        <v>5</v>
      </c>
      <c r="B6" s="8">
        <v>5</v>
      </c>
      <c r="C6" s="8">
        <v>30000</v>
      </c>
      <c r="D6" s="8" t="s">
        <v>927</v>
      </c>
      <c r="E6" s="9" t="s">
        <v>919</v>
      </c>
    </row>
    <row r="7" spans="1:5" x14ac:dyDescent="0.15">
      <c r="A7" s="8">
        <v>6</v>
      </c>
      <c r="B7" s="8">
        <v>1</v>
      </c>
      <c r="C7" s="8">
        <v>100</v>
      </c>
      <c r="D7" s="8" t="s">
        <v>928</v>
      </c>
      <c r="E7" s="9" t="s">
        <v>917</v>
      </c>
    </row>
    <row r="8" spans="1:5" x14ac:dyDescent="0.15">
      <c r="A8" s="8">
        <v>7</v>
      </c>
      <c r="B8" s="8">
        <v>2</v>
      </c>
      <c r="C8" s="8">
        <v>300</v>
      </c>
      <c r="D8" s="8" t="s">
        <v>929</v>
      </c>
      <c r="E8" s="9" t="s">
        <v>312</v>
      </c>
    </row>
    <row r="9" spans="1:5" x14ac:dyDescent="0.15">
      <c r="A9" s="8">
        <v>8</v>
      </c>
      <c r="B9" s="8">
        <v>3</v>
      </c>
      <c r="C9" s="8">
        <v>800</v>
      </c>
      <c r="D9" s="8" t="s">
        <v>930</v>
      </c>
      <c r="E9" s="9" t="s">
        <v>918</v>
      </c>
    </row>
    <row r="10" spans="1:5" x14ac:dyDescent="0.15">
      <c r="A10" s="8">
        <v>9</v>
      </c>
      <c r="B10" s="8">
        <v>4</v>
      </c>
      <c r="C10" s="8">
        <v>2000</v>
      </c>
      <c r="D10" s="8" t="s">
        <v>931</v>
      </c>
      <c r="E10" s="9" t="s">
        <v>313</v>
      </c>
    </row>
    <row r="11" spans="1:5" x14ac:dyDescent="0.15">
      <c r="A11" s="8">
        <v>10</v>
      </c>
      <c r="B11" s="8">
        <v>1</v>
      </c>
      <c r="C11" s="8">
        <v>100</v>
      </c>
      <c r="D11" s="8" t="s">
        <v>936</v>
      </c>
      <c r="E11" s="9" t="s">
        <v>922</v>
      </c>
    </row>
    <row r="12" spans="1:5" x14ac:dyDescent="0.15">
      <c r="A12" s="8">
        <v>11</v>
      </c>
      <c r="B12" s="8">
        <v>2</v>
      </c>
      <c r="C12" s="8">
        <v>300</v>
      </c>
      <c r="D12" s="8" t="s">
        <v>937</v>
      </c>
      <c r="E12" s="9" t="s">
        <v>920</v>
      </c>
    </row>
    <row r="13" spans="1:5" x14ac:dyDescent="0.15">
      <c r="A13" s="8">
        <v>12</v>
      </c>
      <c r="B13" s="8">
        <v>3</v>
      </c>
      <c r="C13" s="8">
        <v>800</v>
      </c>
      <c r="D13" s="8" t="s">
        <v>938</v>
      </c>
      <c r="E13" s="9" t="s">
        <v>921</v>
      </c>
    </row>
    <row r="14" spans="1:5" x14ac:dyDescent="0.15">
      <c r="A14" s="8">
        <v>13</v>
      </c>
      <c r="B14" s="8">
        <v>4</v>
      </c>
      <c r="C14" s="8">
        <v>2000</v>
      </c>
      <c r="D14" s="8" t="s">
        <v>939</v>
      </c>
      <c r="E14" s="9" t="s">
        <v>966</v>
      </c>
    </row>
    <row r="15" spans="1:5" x14ac:dyDescent="0.15">
      <c r="A15" s="8">
        <v>14</v>
      </c>
      <c r="B15" s="8">
        <v>1</v>
      </c>
      <c r="C15" s="8">
        <v>100</v>
      </c>
      <c r="D15" s="8" t="s">
        <v>932</v>
      </c>
      <c r="E15" s="9" t="s">
        <v>973</v>
      </c>
    </row>
    <row r="16" spans="1:5" x14ac:dyDescent="0.15">
      <c r="A16" s="8">
        <v>15</v>
      </c>
      <c r="B16" s="8">
        <v>2</v>
      </c>
      <c r="C16" s="8">
        <v>300</v>
      </c>
      <c r="D16" s="8" t="s">
        <v>933</v>
      </c>
      <c r="E16" s="9" t="s">
        <v>974</v>
      </c>
    </row>
    <row r="17" spans="1:5" x14ac:dyDescent="0.15">
      <c r="A17" s="8">
        <v>16</v>
      </c>
      <c r="B17" s="8">
        <v>3</v>
      </c>
      <c r="C17" s="8">
        <v>800</v>
      </c>
      <c r="D17" s="8" t="s">
        <v>934</v>
      </c>
      <c r="E17" s="9" t="s">
        <v>976</v>
      </c>
    </row>
    <row r="18" spans="1:5" x14ac:dyDescent="0.15">
      <c r="A18" s="8">
        <v>17</v>
      </c>
      <c r="B18" s="8">
        <v>4</v>
      </c>
      <c r="C18" s="8">
        <v>2000</v>
      </c>
      <c r="D18" s="8" t="s">
        <v>935</v>
      </c>
      <c r="E18" s="9" t="s">
        <v>975</v>
      </c>
    </row>
    <row r="19" spans="1:5" x14ac:dyDescent="0.15">
      <c r="A19" s="8">
        <v>18</v>
      </c>
      <c r="B19" s="8">
        <v>2</v>
      </c>
      <c r="C19" s="8">
        <v>300</v>
      </c>
      <c r="D19" s="8" t="s">
        <v>957</v>
      </c>
      <c r="E19" s="6" t="s">
        <v>967</v>
      </c>
    </row>
    <row r="20" spans="1:5" x14ac:dyDescent="0.15">
      <c r="A20" s="8">
        <v>19</v>
      </c>
      <c r="B20" s="8">
        <v>3</v>
      </c>
      <c r="C20" s="8">
        <v>800</v>
      </c>
      <c r="D20" s="8" t="s">
        <v>958</v>
      </c>
      <c r="E20" s="6" t="s">
        <v>968</v>
      </c>
    </row>
    <row r="21" spans="1:5" x14ac:dyDescent="0.15">
      <c r="A21" s="8">
        <v>20</v>
      </c>
      <c r="B21" s="8">
        <v>2</v>
      </c>
      <c r="C21" s="8">
        <v>300</v>
      </c>
      <c r="D21" s="8" t="s">
        <v>961</v>
      </c>
      <c r="E21" s="6" t="s">
        <v>969</v>
      </c>
    </row>
    <row r="22" spans="1:5" x14ac:dyDescent="0.15">
      <c r="A22" s="8">
        <v>21</v>
      </c>
      <c r="B22" s="8">
        <v>3</v>
      </c>
      <c r="C22" s="8">
        <v>800</v>
      </c>
      <c r="D22" s="8" t="s">
        <v>962</v>
      </c>
      <c r="E22" s="6" t="s">
        <v>970</v>
      </c>
    </row>
    <row r="23" spans="1:5" x14ac:dyDescent="0.15">
      <c r="A23" s="8">
        <v>22</v>
      </c>
      <c r="B23" s="8">
        <v>2</v>
      </c>
      <c r="C23" s="8">
        <v>300</v>
      </c>
      <c r="D23" s="8" t="s">
        <v>959</v>
      </c>
      <c r="E23" s="6" t="s">
        <v>971</v>
      </c>
    </row>
    <row r="24" spans="1:5" x14ac:dyDescent="0.15">
      <c r="A24" s="8">
        <v>23</v>
      </c>
      <c r="B24" s="8">
        <v>3</v>
      </c>
      <c r="C24" s="8">
        <v>800</v>
      </c>
      <c r="D24" s="8" t="s">
        <v>960</v>
      </c>
      <c r="E24" s="6" t="s">
        <v>972</v>
      </c>
    </row>
    <row r="25" spans="1:5" x14ac:dyDescent="0.15">
      <c r="A25" s="8">
        <v>24</v>
      </c>
      <c r="B25" s="8">
        <v>3</v>
      </c>
      <c r="C25" s="8">
        <v>800</v>
      </c>
      <c r="D25" s="8" t="s">
        <v>979</v>
      </c>
      <c r="E25" s="9" t="s">
        <v>977</v>
      </c>
    </row>
    <row r="26" spans="1:5" x14ac:dyDescent="0.15">
      <c r="A26" s="8">
        <v>25</v>
      </c>
      <c r="B26" s="8">
        <v>2</v>
      </c>
      <c r="C26" s="8">
        <v>300</v>
      </c>
      <c r="D26" s="8" t="s">
        <v>940</v>
      </c>
      <c r="E26" s="19" t="s">
        <v>315</v>
      </c>
    </row>
    <row r="27" spans="1:5" x14ac:dyDescent="0.15">
      <c r="A27" s="8">
        <v>26</v>
      </c>
      <c r="B27" s="8">
        <v>3</v>
      </c>
      <c r="C27" s="8">
        <v>800</v>
      </c>
      <c r="D27" s="8" t="s">
        <v>963</v>
      </c>
      <c r="E27" s="9" t="s">
        <v>978</v>
      </c>
    </row>
    <row r="28" spans="1:5" x14ac:dyDescent="0.15">
      <c r="A28" s="8">
        <v>27</v>
      </c>
      <c r="B28" s="8">
        <v>3</v>
      </c>
      <c r="C28" s="8">
        <v>800</v>
      </c>
      <c r="D28" s="8" t="s">
        <v>964</v>
      </c>
      <c r="E28" s="9" t="s">
        <v>941</v>
      </c>
    </row>
    <row r="29" spans="1:5" x14ac:dyDescent="0.15">
      <c r="A29" s="8">
        <v>28</v>
      </c>
      <c r="B29" s="8">
        <v>3</v>
      </c>
      <c r="C29" s="8">
        <v>800</v>
      </c>
      <c r="D29" s="8" t="s">
        <v>965</v>
      </c>
      <c r="E29" s="19" t="s">
        <v>319</v>
      </c>
    </row>
    <row r="30" spans="1:5" x14ac:dyDescent="0.15">
      <c r="A30" s="8">
        <v>29</v>
      </c>
      <c r="B30" s="8">
        <v>2</v>
      </c>
      <c r="C30" s="8">
        <v>300</v>
      </c>
      <c r="D30" s="8" t="s">
        <v>942</v>
      </c>
      <c r="E30" s="9" t="s">
        <v>314</v>
      </c>
    </row>
    <row r="31" spans="1:5" x14ac:dyDescent="0.15">
      <c r="A31" s="8">
        <v>30</v>
      </c>
      <c r="B31" s="8">
        <v>3</v>
      </c>
      <c r="C31" s="8">
        <v>800</v>
      </c>
      <c r="D31" s="8" t="s">
        <v>943</v>
      </c>
      <c r="E31" s="19" t="s">
        <v>320</v>
      </c>
    </row>
    <row r="32" spans="1:5" x14ac:dyDescent="0.15">
      <c r="A32" s="8">
        <v>31</v>
      </c>
      <c r="B32" s="8">
        <v>1</v>
      </c>
      <c r="C32" s="8">
        <v>100</v>
      </c>
      <c r="D32" s="8" t="s">
        <v>980</v>
      </c>
      <c r="E32" s="9" t="s">
        <v>321</v>
      </c>
    </row>
    <row r="33" spans="1:5" x14ac:dyDescent="0.15">
      <c r="A33" s="8">
        <v>32</v>
      </c>
      <c r="B33" s="8">
        <v>2</v>
      </c>
      <c r="C33" s="8">
        <v>300</v>
      </c>
      <c r="D33" s="8" t="s">
        <v>981</v>
      </c>
      <c r="E33" s="9" t="s">
        <v>325</v>
      </c>
    </row>
    <row r="34" spans="1:5" x14ac:dyDescent="0.15">
      <c r="A34" s="8">
        <v>33</v>
      </c>
      <c r="B34" s="8">
        <v>3</v>
      </c>
      <c r="C34" s="8">
        <v>800</v>
      </c>
      <c r="D34" s="8" t="s">
        <v>982</v>
      </c>
      <c r="E34" s="9" t="s">
        <v>984</v>
      </c>
    </row>
    <row r="35" spans="1:5" x14ac:dyDescent="0.15">
      <c r="A35" s="8">
        <v>34</v>
      </c>
      <c r="B35" s="8">
        <v>4</v>
      </c>
      <c r="C35" s="8">
        <v>2000</v>
      </c>
      <c r="D35" s="8" t="s">
        <v>983</v>
      </c>
      <c r="E35" s="9" t="s">
        <v>985</v>
      </c>
    </row>
    <row r="36" spans="1:5" x14ac:dyDescent="0.15">
      <c r="A36" s="8">
        <v>35</v>
      </c>
      <c r="B36" s="8">
        <v>2</v>
      </c>
      <c r="C36" s="8">
        <v>300</v>
      </c>
      <c r="D36" s="8" t="s">
        <v>944</v>
      </c>
      <c r="E36" s="9" t="s">
        <v>992</v>
      </c>
    </row>
    <row r="37" spans="1:5" x14ac:dyDescent="0.15">
      <c r="A37" s="8">
        <v>36</v>
      </c>
      <c r="B37" s="8">
        <v>3</v>
      </c>
      <c r="C37" s="8">
        <v>800</v>
      </c>
      <c r="D37" s="8" t="s">
        <v>945</v>
      </c>
      <c r="E37" s="9" t="s">
        <v>993</v>
      </c>
    </row>
    <row r="38" spans="1:5" x14ac:dyDescent="0.15">
      <c r="A38" s="8">
        <v>37</v>
      </c>
      <c r="B38" s="8">
        <v>4</v>
      </c>
      <c r="C38" s="8">
        <v>2000</v>
      </c>
      <c r="D38" s="8" t="s">
        <v>946</v>
      </c>
      <c r="E38" s="19" t="s">
        <v>322</v>
      </c>
    </row>
    <row r="39" spans="1:5" x14ac:dyDescent="0.15">
      <c r="A39" s="8">
        <v>38</v>
      </c>
      <c r="B39" s="8">
        <v>2</v>
      </c>
      <c r="C39" s="8">
        <v>300</v>
      </c>
      <c r="D39" s="8" t="s">
        <v>947</v>
      </c>
      <c r="E39" s="9" t="s">
        <v>994</v>
      </c>
    </row>
    <row r="40" spans="1:5" x14ac:dyDescent="0.15">
      <c r="A40" s="8">
        <v>39</v>
      </c>
      <c r="B40" s="8">
        <v>3</v>
      </c>
      <c r="C40" s="8">
        <v>800</v>
      </c>
      <c r="D40" s="8" t="s">
        <v>948</v>
      </c>
      <c r="E40" s="9" t="s">
        <v>994</v>
      </c>
    </row>
    <row r="41" spans="1:5" x14ac:dyDescent="0.15">
      <c r="A41" s="8">
        <v>40</v>
      </c>
      <c r="B41" s="8">
        <v>4</v>
      </c>
      <c r="C41" s="8">
        <v>2000</v>
      </c>
      <c r="D41" s="8" t="s">
        <v>949</v>
      </c>
      <c r="E41" s="19" t="s">
        <v>323</v>
      </c>
    </row>
    <row r="42" spans="1:5" x14ac:dyDescent="0.15">
      <c r="A42" s="8">
        <v>41</v>
      </c>
      <c r="B42" s="8">
        <v>2</v>
      </c>
      <c r="C42" s="8">
        <v>300</v>
      </c>
      <c r="D42" s="8" t="s">
        <v>954</v>
      </c>
      <c r="E42" s="6" t="s">
        <v>986</v>
      </c>
    </row>
    <row r="43" spans="1:5" x14ac:dyDescent="0.15">
      <c r="A43" s="8">
        <v>42</v>
      </c>
      <c r="B43" s="8">
        <v>3</v>
      </c>
      <c r="C43" s="8">
        <v>800</v>
      </c>
      <c r="D43" s="8" t="s">
        <v>955</v>
      </c>
      <c r="E43" s="6" t="s">
        <v>324</v>
      </c>
    </row>
    <row r="44" spans="1:5" x14ac:dyDescent="0.15">
      <c r="A44" s="8">
        <v>43</v>
      </c>
      <c r="B44" s="8">
        <v>4</v>
      </c>
      <c r="C44" s="8">
        <v>2000</v>
      </c>
      <c r="D44" s="8" t="s">
        <v>956</v>
      </c>
      <c r="E44" s="6" t="s">
        <v>987</v>
      </c>
    </row>
    <row r="45" spans="1:5" x14ac:dyDescent="0.15">
      <c r="A45" s="8">
        <v>44</v>
      </c>
      <c r="B45" s="8">
        <v>2</v>
      </c>
      <c r="C45" s="8">
        <v>300</v>
      </c>
      <c r="D45" s="8" t="s">
        <v>988</v>
      </c>
      <c r="E45" s="6" t="s">
        <v>316</v>
      </c>
    </row>
    <row r="46" spans="1:5" x14ac:dyDescent="0.15">
      <c r="A46" s="8">
        <v>45</v>
      </c>
      <c r="B46" s="8">
        <v>3</v>
      </c>
      <c r="C46" s="8">
        <v>800</v>
      </c>
      <c r="D46" s="8" t="s">
        <v>989</v>
      </c>
      <c r="E46" s="6" t="s">
        <v>318</v>
      </c>
    </row>
    <row r="47" spans="1:5" x14ac:dyDescent="0.15">
      <c r="A47" s="8">
        <v>46</v>
      </c>
      <c r="B47" s="8">
        <v>4</v>
      </c>
      <c r="C47" s="8">
        <v>2000</v>
      </c>
      <c r="D47" s="8" t="s">
        <v>990</v>
      </c>
      <c r="E47" s="6" t="s">
        <v>317</v>
      </c>
    </row>
    <row r="48" spans="1:5" x14ac:dyDescent="0.15">
      <c r="A48" s="8">
        <v>47</v>
      </c>
      <c r="B48" s="8">
        <v>1</v>
      </c>
      <c r="C48" s="8">
        <v>100</v>
      </c>
      <c r="D48" s="8" t="s">
        <v>950</v>
      </c>
      <c r="E48" s="9" t="s">
        <v>913</v>
      </c>
    </row>
    <row r="49" spans="1:5" x14ac:dyDescent="0.15">
      <c r="A49" s="8">
        <v>48</v>
      </c>
      <c r="B49" s="8">
        <v>2</v>
      </c>
      <c r="C49" s="8">
        <v>300</v>
      </c>
      <c r="D49" s="8" t="s">
        <v>951</v>
      </c>
      <c r="E49" s="9" t="s">
        <v>911</v>
      </c>
    </row>
    <row r="50" spans="1:5" x14ac:dyDescent="0.15">
      <c r="A50" s="8">
        <v>49</v>
      </c>
      <c r="B50" s="8">
        <v>3</v>
      </c>
      <c r="C50" s="8">
        <v>800</v>
      </c>
      <c r="D50" s="8" t="s">
        <v>952</v>
      </c>
      <c r="E50" s="9" t="s">
        <v>914</v>
      </c>
    </row>
    <row r="51" spans="1:5" x14ac:dyDescent="0.15">
      <c r="A51" s="8">
        <v>50</v>
      </c>
      <c r="B51" s="8">
        <v>5</v>
      </c>
      <c r="C51" s="8">
        <v>30000</v>
      </c>
      <c r="D51" s="8" t="s">
        <v>953</v>
      </c>
      <c r="E51" s="9" t="s">
        <v>912</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3"/>
  <sheetViews>
    <sheetView topLeftCell="A38" zoomScale="130" zoomScaleNormal="130" workbookViewId="0">
      <selection activeCell="C41" sqref="C41"/>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996</v>
      </c>
    </row>
    <row r="30" spans="1:3" ht="90.95" customHeight="1" x14ac:dyDescent="0.15">
      <c r="B30" s="22" t="s">
        <v>995</v>
      </c>
    </row>
    <row r="31" spans="1:3" ht="90.95" customHeight="1" x14ac:dyDescent="0.15">
      <c r="B31" s="22" t="s">
        <v>997</v>
      </c>
    </row>
    <row r="32" spans="1:3" ht="90.95" customHeight="1" x14ac:dyDescent="0.15">
      <c r="B32" s="22" t="s">
        <v>998</v>
      </c>
    </row>
    <row r="33" spans="2:3" ht="90.95" customHeight="1" x14ac:dyDescent="0.15">
      <c r="B33" s="2" t="s">
        <v>999</v>
      </c>
    </row>
    <row r="34" spans="2:3" ht="90.95" customHeight="1" x14ac:dyDescent="0.15">
      <c r="B34" s="22" t="s">
        <v>1000</v>
      </c>
    </row>
    <row r="35" spans="2:3" ht="90.95" customHeight="1" x14ac:dyDescent="0.15">
      <c r="B35" s="22" t="s">
        <v>1001</v>
      </c>
    </row>
    <row r="36" spans="2:3" ht="90.95" customHeight="1" x14ac:dyDescent="0.15">
      <c r="B36" s="22" t="s">
        <v>1004</v>
      </c>
      <c r="C36" s="3" t="s">
        <v>1005</v>
      </c>
    </row>
    <row r="37" spans="2:3" ht="90.95" customHeight="1" x14ac:dyDescent="0.15">
      <c r="B37" s="2" t="s">
        <v>1006</v>
      </c>
    </row>
    <row r="38" spans="2:3" ht="90.95" customHeight="1" x14ac:dyDescent="0.15">
      <c r="B38" s="22" t="s">
        <v>1011</v>
      </c>
    </row>
    <row r="39" spans="2:3" ht="90.95" customHeight="1" x14ac:dyDescent="0.15">
      <c r="B39" s="2" t="s">
        <v>1012</v>
      </c>
    </row>
    <row r="40" spans="2:3" ht="90.95" customHeight="1" x14ac:dyDescent="0.15">
      <c r="B40" s="22" t="s">
        <v>1013</v>
      </c>
    </row>
    <row r="41" spans="2:3" ht="90.95" customHeight="1" x14ac:dyDescent="0.15">
      <c r="B41" s="22" t="s">
        <v>1014</v>
      </c>
    </row>
    <row r="42" spans="2:3" ht="90.95" customHeight="1" x14ac:dyDescent="0.15">
      <c r="B42" s="22" t="s">
        <v>1042</v>
      </c>
    </row>
    <row r="43" spans="2:3" ht="90.95" customHeight="1" x14ac:dyDescent="0.15">
      <c r="B43" s="22" t="s">
        <v>211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890</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891</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802</v>
      </c>
      <c r="G44" s="45" t="s">
        <v>716</v>
      </c>
      <c r="H44" s="45" t="s">
        <v>885</v>
      </c>
      <c r="I44" s="46" t="s">
        <v>717</v>
      </c>
    </row>
    <row r="45" spans="1:9" ht="30" customHeight="1" x14ac:dyDescent="0.15">
      <c r="B45" s="9" t="s">
        <v>777</v>
      </c>
      <c r="F45" s="6" t="s">
        <v>803</v>
      </c>
      <c r="G45" s="45" t="s">
        <v>718</v>
      </c>
      <c r="H45" s="45" t="s">
        <v>892</v>
      </c>
      <c r="I45" s="46" t="s">
        <v>719</v>
      </c>
    </row>
    <row r="46" spans="1:9" ht="30" customHeight="1" x14ac:dyDescent="0.15">
      <c r="B46" s="6" t="s">
        <v>778</v>
      </c>
      <c r="F46" s="6" t="s">
        <v>804</v>
      </c>
      <c r="G46" s="45" t="s">
        <v>720</v>
      </c>
      <c r="H46" s="45" t="s">
        <v>893</v>
      </c>
      <c r="I46" s="46" t="s">
        <v>721</v>
      </c>
    </row>
    <row r="47" spans="1:9" ht="30" customHeight="1" x14ac:dyDescent="0.15">
      <c r="B47" s="9" t="s">
        <v>150</v>
      </c>
      <c r="F47" s="6" t="s">
        <v>805</v>
      </c>
      <c r="G47" s="45" t="s">
        <v>722</v>
      </c>
      <c r="H47" s="45" t="s">
        <v>723</v>
      </c>
      <c r="I47" s="46" t="s">
        <v>724</v>
      </c>
    </row>
    <row r="48" spans="1:9" ht="30" customHeight="1" x14ac:dyDescent="0.15">
      <c r="B48" s="9" t="s">
        <v>779</v>
      </c>
      <c r="F48" s="6" t="s">
        <v>806</v>
      </c>
      <c r="G48" s="45" t="s">
        <v>725</v>
      </c>
      <c r="H48" s="45" t="s">
        <v>726</v>
      </c>
      <c r="I48" s="46" t="s">
        <v>727</v>
      </c>
    </row>
    <row r="49" spans="2:9" ht="30" customHeight="1" x14ac:dyDescent="0.15">
      <c r="B49" s="9" t="s">
        <v>156</v>
      </c>
      <c r="F49" s="6" t="s">
        <v>807</v>
      </c>
      <c r="G49" s="45" t="s">
        <v>728</v>
      </c>
      <c r="H49" s="45" t="s">
        <v>729</v>
      </c>
      <c r="I49" s="46" t="s">
        <v>730</v>
      </c>
    </row>
    <row r="50" spans="2:9" ht="30" customHeight="1" x14ac:dyDescent="0.15">
      <c r="B50" s="9" t="s">
        <v>162</v>
      </c>
      <c r="F50" s="6" t="s">
        <v>808</v>
      </c>
      <c r="G50" s="45" t="s">
        <v>731</v>
      </c>
      <c r="H50" s="45" t="s">
        <v>732</v>
      </c>
      <c r="I50" s="46" t="s">
        <v>733</v>
      </c>
    </row>
    <row r="51" spans="2:9" ht="30" customHeight="1" x14ac:dyDescent="0.15">
      <c r="B51" s="9" t="s">
        <v>155</v>
      </c>
      <c r="F51" s="6" t="s">
        <v>809</v>
      </c>
      <c r="G51" s="45" t="s">
        <v>734</v>
      </c>
      <c r="H51" s="45" t="s">
        <v>735</v>
      </c>
      <c r="I51" s="46" t="s">
        <v>736</v>
      </c>
    </row>
    <row r="52" spans="2:9" ht="30" customHeight="1" x14ac:dyDescent="0.15">
      <c r="B52" s="9" t="s">
        <v>140</v>
      </c>
      <c r="F52" s="6" t="s">
        <v>810</v>
      </c>
      <c r="G52" s="45" t="s">
        <v>737</v>
      </c>
      <c r="H52" s="45" t="s">
        <v>738</v>
      </c>
      <c r="I52" s="46" t="s">
        <v>739</v>
      </c>
    </row>
    <row r="53" spans="2:9" ht="30" customHeight="1" x14ac:dyDescent="0.15">
      <c r="B53" s="6" t="s">
        <v>142</v>
      </c>
      <c r="F53" s="6" t="s">
        <v>811</v>
      </c>
      <c r="G53" s="45" t="s">
        <v>740</v>
      </c>
      <c r="H53" s="45" t="s">
        <v>741</v>
      </c>
      <c r="I53" s="46" t="s">
        <v>742</v>
      </c>
    </row>
    <row r="54" spans="2:9" ht="30" customHeight="1" x14ac:dyDescent="0.15">
      <c r="B54" s="6" t="s">
        <v>780</v>
      </c>
      <c r="F54" s="6" t="s">
        <v>812</v>
      </c>
      <c r="G54" s="45" t="s">
        <v>743</v>
      </c>
      <c r="H54" s="45" t="s">
        <v>744</v>
      </c>
      <c r="I54" s="46" t="s">
        <v>745</v>
      </c>
    </row>
    <row r="55" spans="2:9" ht="30" customHeight="1" x14ac:dyDescent="0.15">
      <c r="B55" s="6" t="s">
        <v>781</v>
      </c>
      <c r="F55" s="6" t="s">
        <v>813</v>
      </c>
      <c r="G55" s="45" t="s">
        <v>746</v>
      </c>
      <c r="H55" s="45" t="s">
        <v>747</v>
      </c>
      <c r="I55" s="46" t="s">
        <v>748</v>
      </c>
    </row>
    <row r="56" spans="2:9" ht="30" customHeight="1" x14ac:dyDescent="0.15">
      <c r="B56" s="6" t="s">
        <v>782</v>
      </c>
      <c r="F56" s="35" t="s">
        <v>814</v>
      </c>
      <c r="G56" s="45" t="s">
        <v>749</v>
      </c>
      <c r="H56" s="45" t="s">
        <v>750</v>
      </c>
      <c r="I56" s="46" t="s">
        <v>751</v>
      </c>
    </row>
    <row r="57" spans="2:9" ht="30" customHeight="1" x14ac:dyDescent="0.15">
      <c r="B57" s="9" t="s">
        <v>148</v>
      </c>
      <c r="F57" s="6" t="s">
        <v>815</v>
      </c>
      <c r="G57" s="45" t="s">
        <v>752</v>
      </c>
      <c r="H57" s="45" t="s">
        <v>753</v>
      </c>
      <c r="I57" s="46" t="s">
        <v>754</v>
      </c>
    </row>
    <row r="58" spans="2:9" ht="30" customHeight="1" x14ac:dyDescent="0.15">
      <c r="B58" s="9" t="s">
        <v>146</v>
      </c>
      <c r="F58" s="6" t="s">
        <v>816</v>
      </c>
      <c r="G58" s="45" t="s">
        <v>755</v>
      </c>
      <c r="H58" s="45" t="s">
        <v>887</v>
      </c>
      <c r="I58" s="46" t="s">
        <v>756</v>
      </c>
    </row>
    <row r="59" spans="2:9" ht="30" customHeight="1" x14ac:dyDescent="0.15">
      <c r="B59" s="9" t="s">
        <v>783</v>
      </c>
      <c r="F59" s="6" t="s">
        <v>817</v>
      </c>
      <c r="G59" s="45" t="s">
        <v>757</v>
      </c>
      <c r="H59" s="45" t="s">
        <v>758</v>
      </c>
      <c r="I59" s="46" t="s">
        <v>759</v>
      </c>
    </row>
    <row r="60" spans="2:9" ht="30" customHeight="1" x14ac:dyDescent="0.15">
      <c r="B60" s="6" t="s">
        <v>169</v>
      </c>
      <c r="F60" s="35" t="s">
        <v>818</v>
      </c>
      <c r="G60" s="45" t="s">
        <v>760</v>
      </c>
      <c r="H60" s="45" t="s">
        <v>888</v>
      </c>
      <c r="I60" s="46" t="s">
        <v>761</v>
      </c>
    </row>
    <row r="61" spans="2:9" ht="30" customHeight="1" x14ac:dyDescent="0.15">
      <c r="B61" s="9" t="s">
        <v>784</v>
      </c>
      <c r="F61" s="6" t="s">
        <v>819</v>
      </c>
      <c r="G61" s="45" t="s">
        <v>762</v>
      </c>
      <c r="H61" s="45" t="s">
        <v>894</v>
      </c>
      <c r="I61" s="46" t="s">
        <v>763</v>
      </c>
    </row>
    <row r="62" spans="2:9" ht="30" customHeight="1" x14ac:dyDescent="0.15">
      <c r="B62" s="6" t="s">
        <v>785</v>
      </c>
      <c r="F62" s="6" t="s">
        <v>820</v>
      </c>
      <c r="G62" s="45" t="s">
        <v>764</v>
      </c>
      <c r="H62" s="45" t="s">
        <v>895</v>
      </c>
      <c r="I62" s="46" t="s">
        <v>765</v>
      </c>
    </row>
    <row r="63" spans="2:9" ht="30" customHeight="1" x14ac:dyDescent="0.15">
      <c r="B63" s="6" t="s">
        <v>786</v>
      </c>
      <c r="F63" s="6" t="s">
        <v>821</v>
      </c>
      <c r="G63" s="45" t="s">
        <v>766</v>
      </c>
      <c r="H63" s="45" t="s">
        <v>886</v>
      </c>
      <c r="I63" s="46" t="s">
        <v>767</v>
      </c>
    </row>
    <row r="64" spans="2:9" ht="30" customHeight="1" x14ac:dyDescent="0.15">
      <c r="B64" s="6" t="s">
        <v>787</v>
      </c>
      <c r="F64" s="35" t="s">
        <v>822</v>
      </c>
      <c r="G64" s="45" t="s">
        <v>768</v>
      </c>
      <c r="H64" s="45" t="s">
        <v>889</v>
      </c>
      <c r="I64" s="46" t="s">
        <v>769</v>
      </c>
    </row>
    <row r="65" spans="2:9" ht="30" customHeight="1" x14ac:dyDescent="0.15">
      <c r="B65" s="6" t="s">
        <v>788</v>
      </c>
      <c r="F65" s="6" t="s">
        <v>823</v>
      </c>
      <c r="G65" s="45" t="s">
        <v>770</v>
      </c>
      <c r="H65" s="45" t="s">
        <v>896</v>
      </c>
      <c r="I65" s="46" t="s">
        <v>771</v>
      </c>
    </row>
    <row r="66" spans="2:9" ht="30" customHeight="1" x14ac:dyDescent="0.15">
      <c r="B66" s="9" t="s">
        <v>164</v>
      </c>
      <c r="F66" s="6" t="s">
        <v>824</v>
      </c>
      <c r="G66" s="45" t="s">
        <v>772</v>
      </c>
      <c r="H66" s="45" t="s">
        <v>773</v>
      </c>
      <c r="I66" s="46" t="s">
        <v>774</v>
      </c>
    </row>
    <row r="67" spans="2:9" ht="30" customHeight="1" x14ac:dyDescent="0.15">
      <c r="B67" s="9" t="s">
        <v>789</v>
      </c>
      <c r="F67" s="6" t="s">
        <v>825</v>
      </c>
      <c r="G67" s="45" t="s">
        <v>775</v>
      </c>
      <c r="H67" s="45" t="s">
        <v>897</v>
      </c>
      <c r="I67" s="46" t="s">
        <v>776</v>
      </c>
    </row>
    <row r="68" spans="2:9" ht="30" customHeight="1" x14ac:dyDescent="0.15">
      <c r="B68" s="6" t="s">
        <v>790</v>
      </c>
      <c r="F68" s="6" t="s">
        <v>826</v>
      </c>
      <c r="G68" s="45" t="s">
        <v>842</v>
      </c>
      <c r="H68" s="45" t="s">
        <v>843</v>
      </c>
      <c r="I68" s="46" t="s">
        <v>844</v>
      </c>
    </row>
    <row r="69" spans="2:9" ht="30" customHeight="1" x14ac:dyDescent="0.15">
      <c r="B69" s="6" t="s">
        <v>791</v>
      </c>
      <c r="F69" s="35" t="s">
        <v>827</v>
      </c>
      <c r="G69" s="45" t="s">
        <v>845</v>
      </c>
      <c r="H69" s="45" t="s">
        <v>898</v>
      </c>
      <c r="I69" s="46" t="s">
        <v>846</v>
      </c>
    </row>
    <row r="70" spans="2:9" ht="30" customHeight="1" x14ac:dyDescent="0.15">
      <c r="B70" s="6" t="s">
        <v>792</v>
      </c>
      <c r="F70" s="6" t="s">
        <v>828</v>
      </c>
      <c r="G70" s="45" t="s">
        <v>847</v>
      </c>
      <c r="H70" s="45" t="s">
        <v>848</v>
      </c>
      <c r="I70" s="46" t="s">
        <v>849</v>
      </c>
    </row>
    <row r="71" spans="2:9" ht="30" customHeight="1" x14ac:dyDescent="0.15">
      <c r="B71" s="9" t="s">
        <v>159</v>
      </c>
      <c r="F71" s="6" t="s">
        <v>829</v>
      </c>
      <c r="G71" s="45" t="s">
        <v>850</v>
      </c>
      <c r="H71" s="45" t="s">
        <v>851</v>
      </c>
      <c r="I71" s="46" t="s">
        <v>852</v>
      </c>
    </row>
    <row r="72" spans="2:9" ht="30" customHeight="1" x14ac:dyDescent="0.15">
      <c r="B72" s="6" t="s">
        <v>793</v>
      </c>
      <c r="F72" s="6" t="s">
        <v>830</v>
      </c>
      <c r="G72" s="45" t="s">
        <v>853</v>
      </c>
      <c r="H72" s="45" t="s">
        <v>854</v>
      </c>
      <c r="I72" s="46" t="s">
        <v>855</v>
      </c>
    </row>
    <row r="73" spans="2:9" ht="30" customHeight="1" x14ac:dyDescent="0.15">
      <c r="B73" s="9" t="s">
        <v>147</v>
      </c>
      <c r="F73" s="6" t="s">
        <v>831</v>
      </c>
      <c r="G73" s="45" t="s">
        <v>856</v>
      </c>
      <c r="H73" s="45" t="s">
        <v>857</v>
      </c>
      <c r="I73" s="46" t="s">
        <v>858</v>
      </c>
    </row>
    <row r="74" spans="2:9" ht="30" customHeight="1" x14ac:dyDescent="0.15">
      <c r="B74" s="9" t="s">
        <v>153</v>
      </c>
      <c r="F74" s="6" t="s">
        <v>832</v>
      </c>
      <c r="G74" s="45" t="s">
        <v>859</v>
      </c>
      <c r="H74" s="45" t="s">
        <v>860</v>
      </c>
      <c r="I74" s="46" t="s">
        <v>861</v>
      </c>
    </row>
    <row r="75" spans="2:9" ht="30" customHeight="1" x14ac:dyDescent="0.15">
      <c r="B75" s="6" t="s">
        <v>794</v>
      </c>
      <c r="F75" s="6" t="s">
        <v>833</v>
      </c>
      <c r="G75" s="45" t="s">
        <v>862</v>
      </c>
      <c r="H75" s="45" t="s">
        <v>863</v>
      </c>
      <c r="I75" s="46" t="s">
        <v>864</v>
      </c>
    </row>
    <row r="76" spans="2:9" ht="30" customHeight="1" x14ac:dyDescent="0.15">
      <c r="B76" s="6" t="s">
        <v>795</v>
      </c>
      <c r="F76" s="6" t="s">
        <v>834</v>
      </c>
      <c r="G76" s="45" t="s">
        <v>865</v>
      </c>
      <c r="H76" s="45" t="s">
        <v>866</v>
      </c>
      <c r="I76" s="46" t="s">
        <v>867</v>
      </c>
    </row>
    <row r="77" spans="2:9" ht="30" customHeight="1" x14ac:dyDescent="0.15">
      <c r="B77" s="6" t="s">
        <v>796</v>
      </c>
      <c r="F77" s="6" t="s">
        <v>835</v>
      </c>
      <c r="G77" s="45" t="s">
        <v>868</v>
      </c>
      <c r="H77" s="45" t="s">
        <v>902</v>
      </c>
      <c r="I77" s="46" t="s">
        <v>869</v>
      </c>
    </row>
    <row r="78" spans="2:9" ht="30" customHeight="1" x14ac:dyDescent="0.15">
      <c r="B78" s="6" t="s">
        <v>797</v>
      </c>
      <c r="F78" s="6" t="s">
        <v>836</v>
      </c>
      <c r="G78" s="45" t="s">
        <v>870</v>
      </c>
      <c r="H78" s="45" t="s">
        <v>899</v>
      </c>
      <c r="I78" s="46" t="s">
        <v>871</v>
      </c>
    </row>
    <row r="79" spans="2:9" ht="30" customHeight="1" x14ac:dyDescent="0.15">
      <c r="B79" s="6" t="s">
        <v>798</v>
      </c>
      <c r="F79" s="6" t="s">
        <v>837</v>
      </c>
      <c r="G79" s="45" t="s">
        <v>872</v>
      </c>
      <c r="H79" s="45" t="s">
        <v>873</v>
      </c>
      <c r="I79" s="46" t="s">
        <v>874</v>
      </c>
    </row>
    <row r="80" spans="2:9" ht="30" customHeight="1" x14ac:dyDescent="0.15">
      <c r="B80" s="6" t="s">
        <v>799</v>
      </c>
      <c r="F80" s="6" t="s">
        <v>838</v>
      </c>
      <c r="G80" s="45" t="s">
        <v>875</v>
      </c>
      <c r="H80" s="45" t="s">
        <v>901</v>
      </c>
      <c r="I80" s="46" t="s">
        <v>876</v>
      </c>
    </row>
    <row r="81" spans="2:9" ht="30" customHeight="1" x14ac:dyDescent="0.15">
      <c r="B81" s="6" t="s">
        <v>800</v>
      </c>
      <c r="F81" s="6" t="s">
        <v>839</v>
      </c>
      <c r="G81" s="45" t="s">
        <v>877</v>
      </c>
      <c r="H81" s="45" t="s">
        <v>878</v>
      </c>
      <c r="I81" s="46" t="s">
        <v>879</v>
      </c>
    </row>
    <row r="82" spans="2:9" ht="30" customHeight="1" x14ac:dyDescent="0.15">
      <c r="B82" s="6" t="s">
        <v>801</v>
      </c>
      <c r="F82" s="6" t="s">
        <v>840</v>
      </c>
      <c r="G82" s="45" t="s">
        <v>880</v>
      </c>
      <c r="H82" s="45" t="s">
        <v>881</v>
      </c>
      <c r="I82" s="46" t="s">
        <v>882</v>
      </c>
    </row>
    <row r="83" spans="2:9" ht="30" customHeight="1" x14ac:dyDescent="0.15">
      <c r="B83" s="9" t="s">
        <v>167</v>
      </c>
      <c r="F83" s="35" t="s">
        <v>841</v>
      </c>
      <c r="G83" s="45" t="s">
        <v>883</v>
      </c>
      <c r="H83" s="45" t="s">
        <v>900</v>
      </c>
      <c r="I83" s="46" t="s">
        <v>884</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715</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2026-01-26T08:50:23Z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