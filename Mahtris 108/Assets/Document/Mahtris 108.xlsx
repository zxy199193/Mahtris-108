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C2175CDF-9090-44D8-95B8-3AE175811105}"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6" i="4" l="1"/>
  <c r="C15" i="4"/>
  <c r="E34" i="4"/>
  <c r="N32" i="4"/>
  <c r="N31" i="4"/>
  <c r="E31" i="4"/>
  <c r="N30" i="4"/>
  <c r="E30" i="4"/>
  <c r="N29" i="4"/>
  <c r="E29" i="4"/>
  <c r="N28" i="4"/>
  <c r="N27" i="4"/>
  <c r="N26" i="4"/>
  <c r="N25" i="4"/>
  <c r="C19" i="4"/>
  <c r="C18" i="4"/>
  <c r="C17" i="4"/>
  <c r="C14" i="4"/>
  <c r="C13" i="4"/>
  <c r="C12" i="4"/>
</calcChain>
</file>

<file path=xl/sharedStrings.xml><?xml version="1.0" encoding="utf-8"?>
<sst xmlns="http://schemas.openxmlformats.org/spreadsheetml/2006/main" count="594" uniqueCount="549">
  <si>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</si>
  <si>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</si>
  <si>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</si>
  <si>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</si>
  <si>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</si>
  <si>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</si>
  <si>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</si>
  <si>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</si>
  <si>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</si>
  <si>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</si>
  <si>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</si>
  <si>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</si>
  <si>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</si>
  <si>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</si>
  <si>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</si>
  <si>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</si>
  <si>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</si>
  <si>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</si>
  <si>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</si>
  <si>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</si>
  <si>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</si>
  <si>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</si>
  <si>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</si>
  <si>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</si>
  <si>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</si>
  <si>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</si>
  <si>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</si>
  <si>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</si>
  <si>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</si>
  <si>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</si>
  <si>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</si>
  <si>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</si>
  <si>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</si>
  <si>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</si>
  <si>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</si>
  <si>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</si>
  <si>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</si>
  <si>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</si>
  <si>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</si>
  <si>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</si>
  <si>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</si>
  <si>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</si>
  <si>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</si>
  <si>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</si>
  <si>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</si>
  <si>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</si>
  <si>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</si>
  <si>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</si>
  <si>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</si>
  <si>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</si>
  <si>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</si>
  <si>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</si>
  <si>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</si>
  <si>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</si>
  <si>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</si>
  <si>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</si>
  <si>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</si>
  <si>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</si>
  <si>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</si>
  <si>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</si>
  <si>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</si>
  <si>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</si>
  <si>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</si>
  <si>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</si>
  <si>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</si>
  <si>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</si>
  <si>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</si>
  <si>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</si>
  <si>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</si>
  <si>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</si>
  <si>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</si>
  <si>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</si>
  <si>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</si>
  <si>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</si>
  <si>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</si>
  <si>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</si>
  <si>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</si>
  <si>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</si>
  <si>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</si>
  <si>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</si>
  <si>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</si>
  <si>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</si>
  <si>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</si>
  <si>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</si>
  <si>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</si>
  <si>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</si>
  <si>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</si>
  <si>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</si>
  <si>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</si>
  <si>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</si>
  <si>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</si>
  <si>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</si>
  <si>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</si>
  <si>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</si>
  <si>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</si>
  <si>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</si>
  <si>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</si>
  <si>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</si>
  <si>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</si>
  <si>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</si>
  <si>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</si>
  <si>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</si>
  <si>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</si>
  <si>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</si>
  <si>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</si>
  <si>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</si>
  <si>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</si>
  <si>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</si>
  <si>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</si>
  <si>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</si>
  <si>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</si>
  <si>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</si>
  <si>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</si>
  <si>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</si>
  <si>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</si>
  <si>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</si>
  <si>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</si>
  <si>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</si>
  <si>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</si>
  <si>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</si>
  <si>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</si>
  <si>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</si>
  <si>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</si>
  <si>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</si>
  <si>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</si>
  <si>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</si>
  <si>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</si>
  <si>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</si>
  <si>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</si>
  <si>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</si>
  <si>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</si>
  <si>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</si>
  <si>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</si>
  <si>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</si>
  <si>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</si>
  <si>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</si>
  <si>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</si>
  <si>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</si>
  <si>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</si>
  <si>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</si>
  <si>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</si>
  <si>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</si>
  <si>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</si>
  <si>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</si>
  <si>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</si>
  <si>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</si>
  <si>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</si>
  <si>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</si>
  <si>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</si>
  <si>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</si>
  <si>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</si>
  <si>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</si>
  <si>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</si>
  <si>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</si>
  <si>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</si>
  <si>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</si>
  <si>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</si>
  <si>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</si>
  <si>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</si>
  <si>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</si>
  <si>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</si>
  <si>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</si>
  <si>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</si>
  <si>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</si>
  <si>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</si>
  <si>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</si>
  <si>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</si>
  <si>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</si>
  <si>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</si>
  <si>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</si>
  <si>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</si>
  <si>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</si>
  <si>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</si>
  <si>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</si>
  <si>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</si>
  <si>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</si>
  <si>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</si>
  <si>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</si>
  <si>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</si>
  <si>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</si>
  <si>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</si>
  <si>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</si>
  <si>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</si>
  <si>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</si>
  <si>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</si>
  <si>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</si>
  <si>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</si>
  <si>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</si>
  <si>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</si>
  <si>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</si>
  <si>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</si>
  <si>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</si>
  <si>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</si>
  <si>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</si>
  <si>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</si>
  <si>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</si>
  <si>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</si>
  <si>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</si>
  <si>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</si>
  <si>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</si>
  <si>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</si>
  <si>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</si>
  <si>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</si>
  <si>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</si>
  <si>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</si>
  <si>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</si>
  <si>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</si>
  <si>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</si>
  <si>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</si>
  <si>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</si>
  <si>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</si>
  <si>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</si>
  <si>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</si>
  <si>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</si>
  <si>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</si>
  <si>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</si>
  <si>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</si>
  <si>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</si>
  <si>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</si>
  <si>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</si>
  <si>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</si>
  <si>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</si>
  <si>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</si>
  <si>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</si>
  <si>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</si>
  <si>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</si>
  <si>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</si>
  <si>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</si>
  <si>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</si>
  <si>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</si>
  <si>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</si>
  <si>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</si>
  <si>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</si>
  <si>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</si>
  <si>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</si>
  <si>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</si>
  <si>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</si>
  <si>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</si>
  <si>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</si>
  <si>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</si>
  <si>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</si>
  <si>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</si>
  <si>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</si>
  <si>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</si>
  <si>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</si>
  <si>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</si>
  <si>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</si>
  <si>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</si>
  <si>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</si>
  <si>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</si>
  <si>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</si>
  <si>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</si>
  <si>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</si>
  <si>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</si>
  <si>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</si>
  <si>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</si>
  <si>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</si>
  <si>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</si>
  <si>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</si>
  <si>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</si>
  <si>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</si>
  <si>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</si>
  <si>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</si>
  <si>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</si>
  <si>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</si>
  <si>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</si>
  <si>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</si>
  <si>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</si>
  <si>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</si>
  <si>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</si>
  <si>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</si>
  <si>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</si>
  <si>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</si>
  <si>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</si>
  <si>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</si>
  <si>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</si>
  <si>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</si>
  <si>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</si>
  <si>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</si>
  <si>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</si>
  <si>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</si>
  <si>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</si>
  <si>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</si>
  <si>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</si>
  <si>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</si>
  <si>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</si>
  <si>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</si>
  <si>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</si>
  <si>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</si>
  <si>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</si>
  <si>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</si>
  <si>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</si>
  <si>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胡牌时不再增加游戏时间，目标金币奖励x2</t>
    <phoneticPr fontId="6" type="noConversion"/>
  </si>
  <si>
    <t>每轮游戏开始时，剩余游戏时间变为固定95秒</t>
    <phoneticPr fontId="6" type="noConversion"/>
  </si>
  <si>
    <t>每次消除多行时会视为一行来进行麻将判定</t>
    <phoneticPr fontId="6"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</si>
  <si>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</si>
  <si>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</si>
  <si>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</si>
  <si>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</si>
  <si>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</si>
  <si>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</si>
  <si>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</si>
  <si>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</si>
  <si>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</si>
  <si>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</si>
  <si>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</si>
  <si>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</si>
  <si>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</si>
  <si>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</si>
  <si>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</si>
  <si>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</si>
  <si>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</si>
  <si>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</si>
  <si>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</si>
  <si>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</si>
  <si>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</si>
  <si>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</si>
  <si>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</si>
  <si>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</si>
  <si>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</si>
  <si>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</si>
  <si>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</si>
  <si>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</si>
  <si>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</si>
  <si>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</si>
  <si>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</si>
  <si>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</si>
  <si>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</si>
  <si>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</si>
  <si>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文本</t>
    <phoneticPr fontId="5"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</si>
  <si>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</si>
  <si>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</si>
  <si>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</si>
  <si>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</si>
  <si>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</si>
  <si>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</si>
  <si>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</si>
  <si>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</si>
  <si>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</si>
  <si>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</si>
  <si>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</si>
  <si>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</si>
  <si>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</si>
  <si>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</si>
  <si>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</si>
  <si>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</si>
  <si>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</si>
  <si>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</si>
  <si>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</si>
  <si>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</si>
  <si>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</si>
  <si>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</si>
  <si>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</si>
  <si>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</si>
  <si>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</si>
  <si>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</si>
  <si>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</si>
  <si>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</si>
  <si>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</si>
  <si>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</si>
  <si>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</si>
  <si>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</si>
  <si>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</si>
  <si>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</si>
  <si>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</si>
  <si>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</si>
  <si>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</si>
  <si>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</si>
  <si>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</si>
  <si>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</si>
  <si>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</si>
  <si>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</si>
  <si>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</si>
  <si>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</si>
  <si>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</si>
  <si>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</si>
  <si>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</si>
  <si>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</si>
  <si>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</si>
  <si>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</si>
  <si>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</si>
  <si>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</si>
  <si>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</si>
  <si>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</si>
  <si>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</si>
  <si>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</si>
  <si>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</si>
  <si>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</si>
  <si>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</si>
  <si>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</si>
  <si>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</si>
  <si>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方块下落时每2秒会随机往左或右移动1~2格，额外倍率x2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</si>
  <si>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</si>
  <si>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</si>
  <si>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</si>
  <si>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</si>
  <si>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</si>
  <si>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</si>
  <si>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</si>
  <si>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</si>
  <si>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</si>
  <si>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</si>
  <si>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</si>
  <si>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</si>
  <si>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</si>
  <si>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</si>
  <si>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</si>
  <si>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</si>
  <si>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</si>
  <si>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</si>
  <si>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</si>
  <si>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</si>
  <si>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</si>
  <si>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</si>
  <si>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</si>
  <si>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</si>
  <si>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</si>
  <si>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</si>
  <si>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</si>
  <si>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</si>
  <si>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</si>
  <si>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</si>
  <si>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</si>
  <si>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</si>
  <si>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</si>
  <si>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</si>
  <si>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</si>
  <si>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</si>
  <si>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</si>
  <si>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</si>
  <si>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</si>
  <si>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</si>
  <si>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</si>
  <si>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</si>
  <si>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</si>
  <si>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</si>
  <si>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</si>
  <si>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</si>
  <si>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</si>
  <si>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</si>
  <si>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</si>
  <si>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</si>
  <si>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</si>
  <si>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</si>
  <si>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</si>
  <si>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</si>
  <si>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</si>
  <si>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</si>
  <si>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</si>
  <si>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</si>
  <si>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</si>
  <si>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</si>
  <si>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</si>
  <si>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</si>
  <si>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</si>
  <si>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</si>
  <si>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</si>
  <si>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</si>
  <si>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</si>
  <si>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</si>
  <si>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</si>
  <si>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</si>
  <si>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</si>
  <si>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</si>
  <si>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</si>
  <si>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</si>
  <si>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</si>
  <si>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</si>
  <si>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</si>
  <si>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</si>
  <si>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</si>
  <si>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</si>
  <si>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</si>
  <si>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</si>
  <si>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</si>
  <si>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</si>
  <si>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</si>
  <si>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</si>
  <si>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</si>
  <si>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</si>
  <si>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</si>
  <si>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</si>
  <si>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</si>
  <si>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</si>
  <si>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</si>
  <si>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</si>
  <si>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</si>
  <si>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</si>
  <si>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</si>
  <si>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</si>
  <si>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</si>
  <si>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</si>
  <si>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</si>
  <si>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</si>
  <si>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</si>
  <si>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</si>
  <si>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</si>
  <si>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</si>
  <si>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</si>
  <si>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</si>
  <si>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</si>
  <si>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</si>
  <si>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</si>
  <si>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</si>
  <si>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</si>
  <si>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</si>
  <si>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</si>
  <si>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</si>
  <si>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</si>
  <si>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</si>
  <si>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在方块下落速度≥25时完成一局游戏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</si>
  <si>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</si>
  <si>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</si>
  <si>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</si>
  <si>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</si>
  <si>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</si>
  <si>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</si>
  <si>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</si>
  <si>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</si>
  <si>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</si>
  <si>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</si>
  <si>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</si>
  <si>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</si>
  <si>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</si>
  <si>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</si>
  <si>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</si>
  <si>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</si>
  <si>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</si>
  <si>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</si>
  <si>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</si>
  <si>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方块列表中每有一种方块，整局游戏&lt;color=#3296DC&gt;基础分+3&lt;/color&gt;</t>
    <phoneticPr fontId="5" type="noConversion"/>
  </si>
  <si>
    <t>如果下下个方块降落后胡牌，本轮游戏&lt;color=#3296DC&gt;基础分+10&lt;/color&gt;</t>
    <phoneticPr fontId="5"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</si>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</sst>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0"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7">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7" fillId="0"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6"/>
  <sheetViews>
    <sheetView topLeftCell="A16"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427</v>
      </c>
      <c r="B12" s="8">
        <v>1</v>
      </c>
      <c r="C12" s="8">
        <f t="shared" ref="C12" si="0">2^B12</f>
        <v>2</v>
      </c>
      <c r="D12" s="17" t="s">
        <v>423</v>
      </c>
      <c r="H12" s="6" t="s">
        <v>24</v>
      </c>
    </row>
    <row r="13" spans="1:9" x14ac:dyDescent="0.15">
      <c r="A13" s="17" t="s">
        <v>426</v>
      </c>
      <c r="B13" s="8">
        <v>3</v>
      </c>
      <c r="C13" s="8">
        <f t="shared" ref="C13:C19" si="1">2^B13</f>
        <v>8</v>
      </c>
      <c r="D13" s="17" t="s">
        <v>419</v>
      </c>
      <c r="H13" s="6" t="s">
        <v>25</v>
      </c>
    </row>
    <row r="14" spans="1:9" x14ac:dyDescent="0.15">
      <c r="A14" s="6" t="s">
        <v>26</v>
      </c>
      <c r="B14" s="8">
        <v>5</v>
      </c>
      <c r="C14" s="8">
        <f t="shared" si="1"/>
        <v>32</v>
      </c>
      <c r="D14" s="17" t="s">
        <v>420</v>
      </c>
    </row>
    <row r="15" spans="1:9" x14ac:dyDescent="0.15">
      <c r="A15" s="17" t="s">
        <v>421</v>
      </c>
      <c r="B15" s="8">
        <v>4</v>
      </c>
      <c r="C15" s="8">
        <f t="shared" si="1"/>
        <v>16</v>
      </c>
      <c r="D15" s="17" t="s">
        <v>422</v>
      </c>
      <c r="H15" s="6" t="s">
        <v>27</v>
      </c>
    </row>
    <row r="16" spans="1:9" x14ac:dyDescent="0.15">
      <c r="A16" s="17" t="s">
        <v>418</v>
      </c>
      <c r="B16" s="8">
        <v>4</v>
      </c>
      <c r="C16" s="8">
        <f t="shared" si="1"/>
        <v>16</v>
      </c>
      <c r="D16" s="17" t="s">
        <v>428</v>
      </c>
      <c r="H16" s="6" t="s">
        <v>28</v>
      </c>
    </row>
    <row r="17" spans="1:14" x14ac:dyDescent="0.15">
      <c r="A17" s="17" t="s">
        <v>424</v>
      </c>
      <c r="B17" s="8">
        <v>5</v>
      </c>
      <c r="C17" s="8">
        <f t="shared" si="1"/>
        <v>32</v>
      </c>
      <c r="D17" s="17" t="s">
        <v>425</v>
      </c>
    </row>
    <row r="18" spans="1:14" x14ac:dyDescent="0.15">
      <c r="A18" s="6" t="s">
        <v>30</v>
      </c>
      <c r="B18" s="8">
        <v>4</v>
      </c>
      <c r="C18" s="8">
        <f t="shared" si="1"/>
        <v>16</v>
      </c>
      <c r="D18" s="6" t="s">
        <v>31</v>
      </c>
      <c r="H18" s="6" t="s">
        <v>29</v>
      </c>
    </row>
    <row r="19" spans="1:14" x14ac:dyDescent="0.15">
      <c r="A19" s="6" t="s">
        <v>33</v>
      </c>
      <c r="B19" s="8">
        <v>6</v>
      </c>
      <c r="C19" s="8">
        <f t="shared" si="1"/>
        <v>64</v>
      </c>
      <c r="D19" s="6" t="s">
        <v>34</v>
      </c>
      <c r="H19" s="6" t="s">
        <v>32</v>
      </c>
    </row>
    <row r="20" spans="1:14" x14ac:dyDescent="0.15">
      <c r="H20" s="6" t="s">
        <v>35</v>
      </c>
    </row>
    <row r="25" spans="1:14" x14ac:dyDescent="0.15">
      <c r="J25" s="6">
        <v>1</v>
      </c>
      <c r="K25" s="6">
        <v>0.25</v>
      </c>
      <c r="L25" s="6">
        <v>5</v>
      </c>
      <c r="N25" s="16">
        <f t="shared" ref="N25:N32" si="2">J25/K25</f>
        <v>4</v>
      </c>
    </row>
    <row r="26" spans="1:14" x14ac:dyDescent="0.15">
      <c r="J26" s="6">
        <v>1</v>
      </c>
      <c r="K26" s="6">
        <v>0.5</v>
      </c>
      <c r="L26" s="6">
        <v>10</v>
      </c>
      <c r="N26" s="16">
        <f t="shared" si="2"/>
        <v>2</v>
      </c>
    </row>
    <row r="27" spans="1:14" x14ac:dyDescent="0.15">
      <c r="J27" s="6">
        <v>1</v>
      </c>
      <c r="K27" s="6">
        <v>0.75</v>
      </c>
      <c r="L27" s="6">
        <v>15</v>
      </c>
      <c r="N27" s="16">
        <f t="shared" si="2"/>
        <v>1.3333333333333333</v>
      </c>
    </row>
    <row r="28" spans="1:14" x14ac:dyDescent="0.15">
      <c r="A28" s="7" t="s">
        <v>36</v>
      </c>
      <c r="B28" s="7" t="s">
        <v>21</v>
      </c>
      <c r="C28" s="7" t="s">
        <v>22</v>
      </c>
      <c r="D28" s="7" t="s">
        <v>37</v>
      </c>
      <c r="E28" s="7" t="s">
        <v>38</v>
      </c>
      <c r="J28" s="6">
        <v>1</v>
      </c>
      <c r="K28" s="6">
        <v>1</v>
      </c>
      <c r="L28" s="6">
        <v>20</v>
      </c>
      <c r="N28" s="16">
        <f t="shared" si="2"/>
        <v>1</v>
      </c>
    </row>
    <row r="29" spans="1:14" x14ac:dyDescent="0.15">
      <c r="A29" s="8">
        <v>10</v>
      </c>
      <c r="B29" s="8">
        <v>1</v>
      </c>
      <c r="C29" s="8">
        <v>26</v>
      </c>
      <c r="D29" s="8">
        <v>1</v>
      </c>
      <c r="E29" s="8">
        <f t="shared" ref="E29:E31" si="3">A29*(2^B29)*C29*D29</f>
        <v>520</v>
      </c>
      <c r="J29" s="6">
        <v>1</v>
      </c>
      <c r="K29" s="6">
        <v>1.25</v>
      </c>
      <c r="L29" s="6">
        <v>25</v>
      </c>
      <c r="N29" s="16">
        <f t="shared" si="2"/>
        <v>0.8</v>
      </c>
    </row>
    <row r="30" spans="1:14" x14ac:dyDescent="0.15">
      <c r="A30" s="8">
        <v>20</v>
      </c>
      <c r="B30" s="8">
        <v>2</v>
      </c>
      <c r="C30" s="8">
        <v>62</v>
      </c>
      <c r="D30" s="8">
        <v>2</v>
      </c>
      <c r="E30" s="8">
        <f t="shared" si="3"/>
        <v>9920</v>
      </c>
      <c r="J30" s="6">
        <v>1</v>
      </c>
      <c r="K30" s="6">
        <v>1.5</v>
      </c>
      <c r="L30" s="6">
        <v>30</v>
      </c>
      <c r="N30" s="16">
        <f t="shared" si="2"/>
        <v>0.66666666666666663</v>
      </c>
    </row>
    <row r="31" spans="1:14" x14ac:dyDescent="0.15">
      <c r="A31" s="8">
        <v>80</v>
      </c>
      <c r="B31" s="8">
        <v>4</v>
      </c>
      <c r="C31" s="8">
        <v>110</v>
      </c>
      <c r="D31" s="8">
        <v>8</v>
      </c>
      <c r="E31" s="8">
        <f t="shared" si="3"/>
        <v>1126400</v>
      </c>
      <c r="J31" s="6">
        <v>1</v>
      </c>
      <c r="K31" s="6">
        <v>1.75</v>
      </c>
      <c r="L31" s="6">
        <v>35</v>
      </c>
      <c r="N31" s="16">
        <f t="shared" si="2"/>
        <v>0.5714285714285714</v>
      </c>
    </row>
    <row r="32" spans="1:14" x14ac:dyDescent="0.15">
      <c r="E32" s="8"/>
      <c r="J32" s="6">
        <v>1</v>
      </c>
      <c r="K32" s="6">
        <v>2</v>
      </c>
      <c r="L32" s="6">
        <v>40</v>
      </c>
      <c r="N32" s="16">
        <f t="shared" si="2"/>
        <v>0.5</v>
      </c>
    </row>
    <row r="33" spans="1:6" x14ac:dyDescent="0.15">
      <c r="A33" s="7" t="s">
        <v>36</v>
      </c>
      <c r="B33" s="7" t="s">
        <v>39</v>
      </c>
      <c r="C33" s="7" t="s">
        <v>40</v>
      </c>
      <c r="D33" s="7" t="s">
        <v>41</v>
      </c>
      <c r="E33" s="7" t="s">
        <v>38</v>
      </c>
    </row>
    <row r="34" spans="1:6" x14ac:dyDescent="0.15">
      <c r="A34" s="8">
        <v>80</v>
      </c>
      <c r="B34" s="8">
        <v>256</v>
      </c>
      <c r="C34" s="8">
        <v>80</v>
      </c>
      <c r="D34" s="8">
        <v>80</v>
      </c>
      <c r="E34" s="8">
        <f>A34*B34*C34*D34</f>
        <v>131072000</v>
      </c>
    </row>
    <row r="36" spans="1:6" x14ac:dyDescent="0.15">
      <c r="A36" s="7" t="s">
        <v>42</v>
      </c>
      <c r="B36" s="7" t="s">
        <v>43</v>
      </c>
      <c r="C36" s="7" t="s">
        <v>44</v>
      </c>
      <c r="D36" s="7" t="s">
        <v>45</v>
      </c>
      <c r="E36" s="7" t="s">
        <v>46</v>
      </c>
      <c r="F36" s="7" t="s">
        <v>47</v>
      </c>
    </row>
    <row r="37" spans="1:6" x14ac:dyDescent="0.15">
      <c r="A37" s="8" t="s">
        <v>48</v>
      </c>
      <c r="B37" s="8" t="s">
        <v>49</v>
      </c>
      <c r="C37" s="8" t="s">
        <v>49</v>
      </c>
      <c r="D37" s="8">
        <v>10</v>
      </c>
      <c r="E37" s="8">
        <v>0</v>
      </c>
      <c r="F37" s="9" t="s">
        <v>50</v>
      </c>
    </row>
    <row r="38" spans="1:6" x14ac:dyDescent="0.15">
      <c r="A38" s="8" t="s">
        <v>51</v>
      </c>
      <c r="B38" s="18" t="s">
        <v>429</v>
      </c>
      <c r="C38" s="8" t="s">
        <v>52</v>
      </c>
      <c r="D38" s="8">
        <v>10</v>
      </c>
      <c r="E38" s="8">
        <v>1</v>
      </c>
      <c r="F38" s="9" t="s">
        <v>53</v>
      </c>
    </row>
    <row r="39" spans="1:6" x14ac:dyDescent="0.15">
      <c r="A39" s="8" t="s">
        <v>54</v>
      </c>
      <c r="B39" s="8" t="s">
        <v>55</v>
      </c>
      <c r="C39" s="8" t="s">
        <v>55</v>
      </c>
      <c r="D39" s="8">
        <v>15</v>
      </c>
      <c r="E39" s="8">
        <v>2</v>
      </c>
      <c r="F39" s="9" t="s">
        <v>56</v>
      </c>
    </row>
    <row r="41" spans="1:6" x14ac:dyDescent="0.15">
      <c r="A41" s="7" t="s">
        <v>57</v>
      </c>
      <c r="B41" s="7" t="s">
        <v>58</v>
      </c>
    </row>
    <row r="42" spans="1:6" x14ac:dyDescent="0.15">
      <c r="A42" s="8">
        <v>50</v>
      </c>
      <c r="B42" s="8">
        <v>10</v>
      </c>
    </row>
    <row r="43" spans="1:6" x14ac:dyDescent="0.15">
      <c r="A43" s="8">
        <v>150</v>
      </c>
      <c r="B43" s="8">
        <v>30</v>
      </c>
    </row>
    <row r="44" spans="1:6" x14ac:dyDescent="0.15">
      <c r="A44" s="8">
        <v>500</v>
      </c>
      <c r="B44" s="8">
        <v>100</v>
      </c>
    </row>
    <row r="45" spans="1:6" x14ac:dyDescent="0.15">
      <c r="A45" s="8">
        <v>900</v>
      </c>
      <c r="B45" s="8">
        <v>300</v>
      </c>
    </row>
    <row r="46" spans="1:6" x14ac:dyDescent="0.15">
      <c r="A46" s="8">
        <v>1500</v>
      </c>
      <c r="B46" s="8">
        <v>500</v>
      </c>
    </row>
    <row r="47" spans="1:6" x14ac:dyDescent="0.15">
      <c r="A47" s="8">
        <v>3000</v>
      </c>
      <c r="B47" s="8">
        <v>1000</v>
      </c>
    </row>
    <row r="48" spans="1:6" x14ac:dyDescent="0.15">
      <c r="A48" s="8">
        <v>5000</v>
      </c>
      <c r="B48" s="8">
        <v>1600</v>
      </c>
    </row>
    <row r="49" spans="1:2" x14ac:dyDescent="0.15">
      <c r="A49" s="8">
        <v>8000</v>
      </c>
      <c r="B49" s="8">
        <v>3000</v>
      </c>
    </row>
    <row r="51" spans="1:2" x14ac:dyDescent="0.15">
      <c r="A51" s="7" t="s">
        <v>59</v>
      </c>
    </row>
    <row r="52" spans="1:2" x14ac:dyDescent="0.15">
      <c r="A52" s="8">
        <v>1</v>
      </c>
      <c r="B52" s="6">
        <v>1</v>
      </c>
    </row>
    <row r="53" spans="1:2" x14ac:dyDescent="0.15">
      <c r="A53" s="8">
        <v>2</v>
      </c>
      <c r="B53" s="6">
        <v>3</v>
      </c>
    </row>
    <row r="54" spans="1:2" x14ac:dyDescent="0.15">
      <c r="A54" s="8">
        <v>3</v>
      </c>
      <c r="B54" s="6">
        <v>6</v>
      </c>
    </row>
    <row r="55" spans="1:2" x14ac:dyDescent="0.15">
      <c r="A55" s="8">
        <v>4</v>
      </c>
      <c r="B55" s="6">
        <v>10</v>
      </c>
    </row>
    <row r="56" spans="1:2" x14ac:dyDescent="0.15">
      <c r="A56" s="8">
        <v>5</v>
      </c>
      <c r="B56" s="6">
        <v>15</v>
      </c>
    </row>
    <row r="57" spans="1:2" x14ac:dyDescent="0.15">
      <c r="A57" s="8">
        <v>6</v>
      </c>
      <c r="B57" s="6">
        <v>21</v>
      </c>
    </row>
    <row r="58" spans="1:2" x14ac:dyDescent="0.15">
      <c r="A58" s="8">
        <v>7</v>
      </c>
      <c r="B58" s="6">
        <v>28</v>
      </c>
    </row>
    <row r="59" spans="1:2" x14ac:dyDescent="0.15">
      <c r="A59" s="8">
        <v>8</v>
      </c>
      <c r="B59" s="6">
        <v>36</v>
      </c>
    </row>
    <row r="60" spans="1:2" x14ac:dyDescent="0.15">
      <c r="A60" s="8">
        <v>9</v>
      </c>
      <c r="B60" s="6">
        <v>45</v>
      </c>
    </row>
    <row r="61" spans="1:2" x14ac:dyDescent="0.15">
      <c r="A61" s="8">
        <v>10</v>
      </c>
      <c r="B61" s="6">
        <v>55</v>
      </c>
    </row>
    <row r="62" spans="1:2" x14ac:dyDescent="0.15">
      <c r="A62" s="8">
        <v>11</v>
      </c>
      <c r="B62" s="6">
        <v>66</v>
      </c>
    </row>
    <row r="63" spans="1:2" x14ac:dyDescent="0.15">
      <c r="A63" s="8">
        <v>12</v>
      </c>
      <c r="B63" s="6">
        <v>78</v>
      </c>
    </row>
    <row r="64" spans="1:2" x14ac:dyDescent="0.15">
      <c r="A64" s="8">
        <v>13</v>
      </c>
      <c r="B64" s="6">
        <v>91</v>
      </c>
    </row>
    <row r="65" spans="1:2" x14ac:dyDescent="0.15">
      <c r="A65" s="8">
        <v>14</v>
      </c>
      <c r="B65" s="6">
        <v>105</v>
      </c>
    </row>
    <row r="66" spans="1:2" x14ac:dyDescent="0.15">
      <c r="A66" s="8">
        <v>15</v>
      </c>
      <c r="B66"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26"/>
  <sheetViews>
    <sheetView topLeftCell="B1" zoomScale="115" zoomScaleNormal="115" workbookViewId="0">
      <selection activeCell="F46" sqref="F46"/>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72.875" style="6" customWidth="1"/>
    <col min="8" max="8" width="9" style="6"/>
    <col min="9" max="13" width="9.875" style="6" customWidth="1"/>
    <col min="14" max="16384" width="9" style="6"/>
  </cols>
  <sheetData>
    <row r="1" spans="1:10" x14ac:dyDescent="0.15">
      <c r="A1" s="7" t="s">
        <v>60</v>
      </c>
      <c r="B1" s="7" t="s">
        <v>98</v>
      </c>
      <c r="C1" s="7" t="s">
        <v>99</v>
      </c>
      <c r="D1" s="26" t="s">
        <v>370</v>
      </c>
      <c r="E1" s="7" t="s">
        <v>100</v>
      </c>
      <c r="F1" s="26" t="s">
        <v>330</v>
      </c>
      <c r="G1" s="26" t="s">
        <v>329</v>
      </c>
    </row>
    <row r="2" spans="1:10" x14ac:dyDescent="0.15">
      <c r="A2" s="8">
        <v>1</v>
      </c>
      <c r="B2" s="8" t="s">
        <v>101</v>
      </c>
      <c r="C2" s="9" t="s">
        <v>102</v>
      </c>
      <c r="D2" s="8">
        <v>1</v>
      </c>
      <c r="E2" s="8">
        <v>500</v>
      </c>
      <c r="F2" s="17" t="s">
        <v>331</v>
      </c>
      <c r="G2" s="17" t="s">
        <v>295</v>
      </c>
      <c r="J2" s="17"/>
    </row>
    <row r="3" spans="1:10" x14ac:dyDescent="0.15">
      <c r="A3" s="8">
        <v>2</v>
      </c>
      <c r="B3" s="8" t="s">
        <v>103</v>
      </c>
      <c r="C3" s="9" t="s">
        <v>104</v>
      </c>
      <c r="D3" s="8">
        <v>1</v>
      </c>
      <c r="E3" s="8">
        <v>500</v>
      </c>
      <c r="F3" s="17" t="s">
        <v>372</v>
      </c>
      <c r="G3" s="17" t="s">
        <v>296</v>
      </c>
    </row>
    <row r="4" spans="1:10" x14ac:dyDescent="0.15">
      <c r="A4" s="8">
        <v>3</v>
      </c>
      <c r="B4" s="18" t="s">
        <v>361</v>
      </c>
      <c r="C4" s="19" t="s">
        <v>362</v>
      </c>
      <c r="D4" s="18"/>
      <c r="E4" s="8">
        <v>500</v>
      </c>
      <c r="F4" s="17" t="s">
        <v>375</v>
      </c>
      <c r="G4" s="17" t="s">
        <v>531</v>
      </c>
    </row>
    <row r="5" spans="1:10" x14ac:dyDescent="0.15">
      <c r="A5" s="8">
        <v>4</v>
      </c>
      <c r="B5" s="8" t="s">
        <v>105</v>
      </c>
      <c r="C5" s="9" t="s">
        <v>106</v>
      </c>
      <c r="E5" s="8">
        <v>500</v>
      </c>
      <c r="F5" s="17" t="s">
        <v>332</v>
      </c>
      <c r="G5" s="17" t="s">
        <v>297</v>
      </c>
    </row>
    <row r="6" spans="1:10" x14ac:dyDescent="0.15">
      <c r="A6" s="8">
        <v>5</v>
      </c>
      <c r="B6" s="8" t="s">
        <v>107</v>
      </c>
      <c r="C6" s="9" t="s">
        <v>108</v>
      </c>
      <c r="D6" s="8">
        <v>1</v>
      </c>
      <c r="E6" s="8">
        <v>500</v>
      </c>
      <c r="F6" s="17" t="s">
        <v>333</v>
      </c>
      <c r="G6" s="17" t="s">
        <v>299</v>
      </c>
    </row>
    <row r="7" spans="1:10" x14ac:dyDescent="0.15">
      <c r="A7" s="8">
        <v>6</v>
      </c>
      <c r="B7" s="8" t="s">
        <v>109</v>
      </c>
      <c r="C7" s="9" t="s">
        <v>110</v>
      </c>
      <c r="D7" s="8">
        <v>1</v>
      </c>
      <c r="E7" s="8">
        <v>500</v>
      </c>
      <c r="F7" s="17" t="s">
        <v>334</v>
      </c>
      <c r="G7" s="17" t="s">
        <v>300</v>
      </c>
      <c r="J7" s="17"/>
    </row>
    <row r="8" spans="1:10" x14ac:dyDescent="0.15">
      <c r="A8" s="8">
        <v>7</v>
      </c>
      <c r="B8" s="8" t="s">
        <v>111</v>
      </c>
      <c r="C8" s="9" t="s">
        <v>112</v>
      </c>
      <c r="E8" s="8">
        <v>500</v>
      </c>
      <c r="F8" s="17" t="s">
        <v>335</v>
      </c>
      <c r="G8" s="17" t="s">
        <v>301</v>
      </c>
    </row>
    <row r="9" spans="1:10" x14ac:dyDescent="0.15">
      <c r="A9" s="8">
        <v>8</v>
      </c>
      <c r="B9" s="8" t="s">
        <v>113</v>
      </c>
      <c r="C9" s="9" t="s">
        <v>114</v>
      </c>
      <c r="D9" s="8">
        <v>1</v>
      </c>
      <c r="E9" s="8">
        <v>500</v>
      </c>
      <c r="F9" s="6" t="s">
        <v>115</v>
      </c>
      <c r="G9" s="6" t="s">
        <v>115</v>
      </c>
    </row>
    <row r="10" spans="1:10" x14ac:dyDescent="0.15">
      <c r="A10" s="8">
        <v>9</v>
      </c>
      <c r="B10" s="18" t="s">
        <v>366</v>
      </c>
      <c r="C10" s="19" t="s">
        <v>365</v>
      </c>
      <c r="D10" s="18"/>
      <c r="E10" s="8">
        <v>500</v>
      </c>
      <c r="F10" s="17" t="s">
        <v>364</v>
      </c>
      <c r="G10" s="17" t="s">
        <v>364</v>
      </c>
    </row>
    <row r="11" spans="1:10" x14ac:dyDescent="0.15">
      <c r="A11" s="8">
        <v>10</v>
      </c>
      <c r="B11" s="8" t="s">
        <v>119</v>
      </c>
      <c r="C11" s="9" t="s">
        <v>120</v>
      </c>
      <c r="D11" s="8">
        <v>1</v>
      </c>
      <c r="E11" s="8">
        <v>500</v>
      </c>
      <c r="F11" s="17" t="s">
        <v>336</v>
      </c>
      <c r="G11" s="17" t="s">
        <v>302</v>
      </c>
    </row>
    <row r="12" spans="1:10" x14ac:dyDescent="0.15">
      <c r="A12" s="8">
        <v>11</v>
      </c>
      <c r="B12" s="8" t="s">
        <v>121</v>
      </c>
      <c r="C12" s="9" t="s">
        <v>122</v>
      </c>
      <c r="D12" s="8">
        <v>1</v>
      </c>
      <c r="E12" s="8">
        <v>500</v>
      </c>
      <c r="F12" s="17" t="s">
        <v>272</v>
      </c>
      <c r="G12" s="17" t="s">
        <v>272</v>
      </c>
    </row>
    <row r="13" spans="1:10" x14ac:dyDescent="0.15">
      <c r="A13" s="8">
        <v>12</v>
      </c>
      <c r="B13" s="8" t="s">
        <v>125</v>
      </c>
      <c r="C13" s="9" t="s">
        <v>126</v>
      </c>
      <c r="E13" s="8">
        <v>500</v>
      </c>
      <c r="F13" s="17" t="s">
        <v>274</v>
      </c>
      <c r="G13" s="17" t="s">
        <v>274</v>
      </c>
    </row>
    <row r="14" spans="1:10" x14ac:dyDescent="0.15">
      <c r="A14" s="8">
        <v>13</v>
      </c>
      <c r="B14" s="8" t="s">
        <v>131</v>
      </c>
      <c r="C14" s="9" t="s">
        <v>132</v>
      </c>
      <c r="D14" s="8">
        <v>1</v>
      </c>
      <c r="E14" s="8">
        <v>500</v>
      </c>
      <c r="F14" s="17" t="s">
        <v>278</v>
      </c>
      <c r="G14" s="17" t="s">
        <v>278</v>
      </c>
    </row>
    <row r="15" spans="1:10" x14ac:dyDescent="0.15">
      <c r="A15" s="8">
        <v>14</v>
      </c>
      <c r="B15" s="8" t="s">
        <v>123</v>
      </c>
      <c r="C15" s="9" t="s">
        <v>124</v>
      </c>
      <c r="E15" s="8">
        <v>500</v>
      </c>
      <c r="F15" s="17" t="s">
        <v>273</v>
      </c>
      <c r="G15" s="17" t="s">
        <v>273</v>
      </c>
    </row>
    <row r="16" spans="1:10" x14ac:dyDescent="0.15">
      <c r="A16" s="8">
        <v>15</v>
      </c>
      <c r="B16" s="8" t="s">
        <v>116</v>
      </c>
      <c r="C16" s="9" t="s">
        <v>117</v>
      </c>
      <c r="D16" s="8">
        <v>1</v>
      </c>
      <c r="E16" s="8">
        <v>500</v>
      </c>
      <c r="F16" s="6" t="s">
        <v>118</v>
      </c>
      <c r="G16" s="6" t="s">
        <v>118</v>
      </c>
    </row>
    <row r="17" spans="1:8" x14ac:dyDescent="0.15">
      <c r="A17" s="8">
        <v>16</v>
      </c>
      <c r="B17" s="18" t="s">
        <v>266</v>
      </c>
      <c r="C17" s="19" t="s">
        <v>267</v>
      </c>
      <c r="D17" s="18">
        <v>1</v>
      </c>
      <c r="E17" s="8">
        <v>500</v>
      </c>
      <c r="F17" s="17" t="s">
        <v>289</v>
      </c>
      <c r="G17" s="17" t="s">
        <v>289</v>
      </c>
    </row>
    <row r="18" spans="1:8" x14ac:dyDescent="0.15">
      <c r="A18" s="8">
        <v>17</v>
      </c>
      <c r="B18" s="8" t="s">
        <v>133</v>
      </c>
      <c r="C18" s="9" t="s">
        <v>134</v>
      </c>
      <c r="E18" s="8">
        <v>500</v>
      </c>
      <c r="F18" s="25" t="s">
        <v>374</v>
      </c>
      <c r="G18" s="17" t="s">
        <v>277</v>
      </c>
    </row>
    <row r="19" spans="1:8" x14ac:dyDescent="0.15">
      <c r="A19" s="8">
        <v>18</v>
      </c>
      <c r="B19" s="18" t="s">
        <v>264</v>
      </c>
      <c r="C19" s="19" t="s">
        <v>265</v>
      </c>
      <c r="D19" s="18"/>
      <c r="E19" s="8">
        <v>500</v>
      </c>
      <c r="F19" s="17" t="s">
        <v>279</v>
      </c>
      <c r="G19" s="17" t="s">
        <v>279</v>
      </c>
    </row>
    <row r="20" spans="1:8" x14ac:dyDescent="0.15">
      <c r="A20" s="8">
        <v>19</v>
      </c>
      <c r="B20" s="18" t="s">
        <v>339</v>
      </c>
      <c r="C20" s="19" t="s">
        <v>340</v>
      </c>
      <c r="D20" s="18">
        <v>1</v>
      </c>
      <c r="E20" s="8">
        <v>500</v>
      </c>
      <c r="F20" s="17" t="s">
        <v>341</v>
      </c>
      <c r="G20" s="17" t="s">
        <v>341</v>
      </c>
    </row>
    <row r="21" spans="1:8" x14ac:dyDescent="0.15">
      <c r="A21" s="8">
        <v>20</v>
      </c>
      <c r="B21" s="8" t="s">
        <v>135</v>
      </c>
      <c r="C21" s="9" t="s">
        <v>136</v>
      </c>
      <c r="E21" s="8">
        <v>500</v>
      </c>
      <c r="F21" s="25" t="s">
        <v>373</v>
      </c>
      <c r="G21" s="17" t="s">
        <v>303</v>
      </c>
      <c r="H21" s="17"/>
    </row>
    <row r="22" spans="1:8" x14ac:dyDescent="0.15">
      <c r="A22" s="8">
        <v>21</v>
      </c>
      <c r="B22" s="8" t="s">
        <v>127</v>
      </c>
      <c r="C22" s="9" t="s">
        <v>128</v>
      </c>
      <c r="D22" s="8">
        <v>1</v>
      </c>
      <c r="E22" s="8">
        <v>500</v>
      </c>
      <c r="F22" s="17" t="s">
        <v>275</v>
      </c>
      <c r="G22" s="17" t="s">
        <v>275</v>
      </c>
    </row>
    <row r="23" spans="1:8" x14ac:dyDescent="0.15">
      <c r="A23" s="8">
        <v>22</v>
      </c>
      <c r="B23" s="18" t="s">
        <v>371</v>
      </c>
      <c r="C23" s="9" t="s">
        <v>130</v>
      </c>
      <c r="E23" s="8">
        <v>500</v>
      </c>
      <c r="F23" s="17" t="s">
        <v>276</v>
      </c>
      <c r="G23" s="17" t="s">
        <v>276</v>
      </c>
    </row>
    <row r="24" spans="1:8" x14ac:dyDescent="0.15">
      <c r="A24" s="8">
        <v>23</v>
      </c>
      <c r="B24" s="18" t="s">
        <v>532</v>
      </c>
      <c r="C24" s="19" t="s">
        <v>533</v>
      </c>
      <c r="D24" s="18"/>
      <c r="E24" s="8">
        <v>500</v>
      </c>
      <c r="F24" s="17" t="s">
        <v>363</v>
      </c>
      <c r="G24" s="17" t="s">
        <v>363</v>
      </c>
    </row>
    <row r="25" spans="1:8" x14ac:dyDescent="0.15">
      <c r="A25" s="8">
        <v>24</v>
      </c>
      <c r="B25" s="18" t="s">
        <v>256</v>
      </c>
      <c r="C25" s="28" t="s">
        <v>129</v>
      </c>
      <c r="E25" s="8">
        <v>500</v>
      </c>
      <c r="F25" s="17" t="s">
        <v>284</v>
      </c>
      <c r="G25" s="17" t="s">
        <v>284</v>
      </c>
    </row>
    <row r="26" spans="1:8" s="2" customFormat="1" ht="15.75" x14ac:dyDescent="0.15">
      <c r="A26" s="10">
        <v>1</v>
      </c>
      <c r="B26" s="1" t="s">
        <v>137</v>
      </c>
      <c r="C26" s="9" t="s">
        <v>138</v>
      </c>
      <c r="D26" s="8">
        <v>1</v>
      </c>
      <c r="E26" s="8">
        <v>500</v>
      </c>
      <c r="F26" s="24" t="s">
        <v>337</v>
      </c>
      <c r="G26" s="24" t="s">
        <v>298</v>
      </c>
    </row>
    <row r="27" spans="1:8" ht="15.75" x14ac:dyDescent="0.15">
      <c r="A27" s="10">
        <v>2</v>
      </c>
      <c r="B27" s="8" t="s">
        <v>139</v>
      </c>
      <c r="C27" s="9" t="s">
        <v>140</v>
      </c>
      <c r="D27" s="8">
        <v>1</v>
      </c>
      <c r="E27" s="8">
        <v>500</v>
      </c>
      <c r="F27" s="24" t="s">
        <v>280</v>
      </c>
      <c r="G27" s="24" t="s">
        <v>280</v>
      </c>
    </row>
    <row r="28" spans="1:8" x14ac:dyDescent="0.15">
      <c r="A28" s="10">
        <v>3</v>
      </c>
      <c r="B28" s="8" t="s">
        <v>141</v>
      </c>
      <c r="C28" s="9" t="s">
        <v>142</v>
      </c>
      <c r="D28" s="8">
        <v>1</v>
      </c>
      <c r="E28" s="8">
        <v>500</v>
      </c>
      <c r="F28" s="17" t="s">
        <v>281</v>
      </c>
      <c r="G28" s="17" t="s">
        <v>281</v>
      </c>
    </row>
    <row r="29" spans="1:8" x14ac:dyDescent="0.15">
      <c r="A29" s="10">
        <v>4</v>
      </c>
      <c r="B29" s="8" t="s">
        <v>143</v>
      </c>
      <c r="C29" s="9" t="s">
        <v>144</v>
      </c>
      <c r="E29" s="8">
        <v>2000</v>
      </c>
      <c r="F29" s="17" t="s">
        <v>282</v>
      </c>
      <c r="G29" s="17" t="s">
        <v>282</v>
      </c>
    </row>
    <row r="30" spans="1:8" x14ac:dyDescent="0.15">
      <c r="A30" s="10">
        <v>5</v>
      </c>
      <c r="B30" s="18" t="s">
        <v>227</v>
      </c>
      <c r="C30" s="9" t="s">
        <v>145</v>
      </c>
      <c r="E30" s="8">
        <v>2000</v>
      </c>
      <c r="F30" s="25" t="s">
        <v>283</v>
      </c>
      <c r="G30" s="17" t="s">
        <v>283</v>
      </c>
    </row>
    <row r="31" spans="1:8" x14ac:dyDescent="0.15">
      <c r="A31" s="10">
        <v>6</v>
      </c>
      <c r="B31" s="8" t="s">
        <v>146</v>
      </c>
      <c r="C31" s="9" t="s">
        <v>147</v>
      </c>
      <c r="D31" s="8">
        <v>1</v>
      </c>
      <c r="E31" s="8">
        <v>2000</v>
      </c>
      <c r="F31" s="17" t="s">
        <v>285</v>
      </c>
      <c r="G31" s="17" t="s">
        <v>285</v>
      </c>
    </row>
    <row r="32" spans="1:8" x14ac:dyDescent="0.15">
      <c r="A32" s="10">
        <v>7</v>
      </c>
      <c r="B32" s="18" t="s">
        <v>228</v>
      </c>
      <c r="C32" s="9" t="s">
        <v>148</v>
      </c>
      <c r="D32" s="8">
        <v>1</v>
      </c>
      <c r="E32" s="8">
        <v>2000</v>
      </c>
      <c r="F32" s="17" t="s">
        <v>338</v>
      </c>
      <c r="G32" s="17" t="s">
        <v>304</v>
      </c>
    </row>
    <row r="33" spans="1:7" x14ac:dyDescent="0.15">
      <c r="A33" s="10">
        <v>8</v>
      </c>
      <c r="B33" s="8" t="s">
        <v>149</v>
      </c>
      <c r="C33" s="9" t="s">
        <v>150</v>
      </c>
      <c r="E33" s="8">
        <v>2000</v>
      </c>
      <c r="F33" s="17" t="s">
        <v>286</v>
      </c>
      <c r="G33" s="17" t="s">
        <v>286</v>
      </c>
    </row>
    <row r="34" spans="1:7" x14ac:dyDescent="0.15">
      <c r="A34" s="10">
        <v>9</v>
      </c>
      <c r="B34" s="18" t="s">
        <v>258</v>
      </c>
      <c r="C34" s="19" t="s">
        <v>257</v>
      </c>
      <c r="D34" s="18">
        <v>1</v>
      </c>
      <c r="E34" s="8">
        <v>2000</v>
      </c>
      <c r="F34" s="17" t="s">
        <v>287</v>
      </c>
      <c r="G34" s="17" t="s">
        <v>287</v>
      </c>
    </row>
    <row r="35" spans="1:7" x14ac:dyDescent="0.15">
      <c r="A35" s="10">
        <v>10</v>
      </c>
      <c r="B35" s="18" t="s">
        <v>342</v>
      </c>
      <c r="C35" s="19" t="s">
        <v>345</v>
      </c>
      <c r="D35" s="18"/>
      <c r="E35" s="8">
        <v>3000</v>
      </c>
      <c r="F35" s="19" t="s">
        <v>407</v>
      </c>
    </row>
    <row r="36" spans="1:7" x14ac:dyDescent="0.15">
      <c r="A36" s="10">
        <v>11</v>
      </c>
      <c r="B36" s="18" t="s">
        <v>343</v>
      </c>
      <c r="C36" s="19" t="s">
        <v>346</v>
      </c>
      <c r="D36" s="18"/>
      <c r="E36" s="8">
        <v>3000</v>
      </c>
      <c r="F36" s="19" t="s">
        <v>408</v>
      </c>
    </row>
    <row r="37" spans="1:7" x14ac:dyDescent="0.15">
      <c r="A37" s="10">
        <v>12</v>
      </c>
      <c r="B37" s="18" t="s">
        <v>344</v>
      </c>
      <c r="C37" s="19" t="s">
        <v>347</v>
      </c>
      <c r="D37" s="18"/>
      <c r="E37" s="8">
        <v>3000</v>
      </c>
      <c r="F37" s="19" t="s">
        <v>409</v>
      </c>
    </row>
    <row r="38" spans="1:7" x14ac:dyDescent="0.15">
      <c r="A38" s="10">
        <v>13</v>
      </c>
      <c r="B38" s="8" t="s">
        <v>151</v>
      </c>
      <c r="C38" s="9" t="s">
        <v>152</v>
      </c>
      <c r="E38" s="8">
        <v>3000</v>
      </c>
      <c r="F38" s="17" t="s">
        <v>288</v>
      </c>
      <c r="G38" s="17" t="s">
        <v>288</v>
      </c>
    </row>
    <row r="39" spans="1:7" x14ac:dyDescent="0.15">
      <c r="A39" s="10">
        <v>14</v>
      </c>
      <c r="B39" s="8" t="s">
        <v>153</v>
      </c>
      <c r="C39" s="9" t="s">
        <v>154</v>
      </c>
      <c r="E39" s="8">
        <v>3000</v>
      </c>
      <c r="F39" s="17" t="s">
        <v>290</v>
      </c>
      <c r="G39" s="17" t="s">
        <v>290</v>
      </c>
    </row>
    <row r="40" spans="1:7" x14ac:dyDescent="0.15">
      <c r="A40" s="10">
        <v>15</v>
      </c>
      <c r="B40" s="18" t="s">
        <v>348</v>
      </c>
      <c r="C40" s="29" t="s">
        <v>349</v>
      </c>
      <c r="D40" s="18"/>
      <c r="E40" s="8">
        <v>80000</v>
      </c>
      <c r="F40" s="17" t="s">
        <v>369</v>
      </c>
      <c r="G40" s="17" t="s">
        <v>530</v>
      </c>
    </row>
    <row r="41" spans="1:7" x14ac:dyDescent="0.15">
      <c r="A41" s="10">
        <v>16</v>
      </c>
      <c r="B41" s="8" t="s">
        <v>155</v>
      </c>
      <c r="C41" s="28" t="s">
        <v>156</v>
      </c>
      <c r="E41" s="8">
        <v>120000</v>
      </c>
      <c r="F41" s="17" t="s">
        <v>368</v>
      </c>
      <c r="G41" s="17" t="s">
        <v>305</v>
      </c>
    </row>
    <row r="42" spans="1:7" x14ac:dyDescent="0.15">
      <c r="A42" s="6"/>
      <c r="B42" s="6"/>
      <c r="C42" s="6"/>
      <c r="E42" s="6"/>
      <c r="F42" s="6"/>
    </row>
    <row r="43" spans="1:7" x14ac:dyDescent="0.15">
      <c r="A43" s="6"/>
      <c r="B43" s="6"/>
      <c r="C43" s="6"/>
      <c r="E43" s="6"/>
      <c r="F43" s="6"/>
    </row>
    <row r="44" spans="1:7" x14ac:dyDescent="0.15">
      <c r="A44" s="6"/>
      <c r="B44" s="6"/>
      <c r="C44" s="6"/>
      <c r="E44" s="6"/>
      <c r="F44" s="6"/>
    </row>
    <row r="45" spans="1:7" x14ac:dyDescent="0.15">
      <c r="A45" s="6"/>
      <c r="B45" s="6"/>
      <c r="C45" s="6"/>
      <c r="E45" s="6"/>
      <c r="F45" s="6"/>
    </row>
    <row r="46" spans="1:7" x14ac:dyDescent="0.15">
      <c r="A46" s="6"/>
      <c r="B46" s="6"/>
      <c r="C46" s="6"/>
      <c r="E46" s="6"/>
      <c r="F46" s="6"/>
    </row>
    <row r="47" spans="1:7" x14ac:dyDescent="0.15">
      <c r="A47" s="6"/>
      <c r="B47" s="6"/>
      <c r="C47" s="6"/>
      <c r="E47" s="6"/>
      <c r="F47" s="6"/>
    </row>
    <row r="48" spans="1:7" x14ac:dyDescent="0.15">
      <c r="A48" s="6"/>
      <c r="B48" s="6"/>
      <c r="C48" s="6"/>
      <c r="E48" s="6"/>
      <c r="F48" s="6"/>
    </row>
    <row r="49" spans="1:7" x14ac:dyDescent="0.15">
      <c r="A49" s="6"/>
      <c r="B49" s="6"/>
      <c r="C49" s="6"/>
      <c r="E49" s="6"/>
      <c r="F49" s="6"/>
    </row>
    <row r="50" spans="1:7" x14ac:dyDescent="0.15">
      <c r="A50" s="6"/>
      <c r="B50" s="6"/>
      <c r="C50" s="6"/>
      <c r="E50" s="6"/>
      <c r="F50" s="6"/>
    </row>
    <row r="51" spans="1:7" x14ac:dyDescent="0.15">
      <c r="A51" s="6"/>
      <c r="B51" s="6"/>
      <c r="C51" s="6"/>
      <c r="E51" s="6"/>
      <c r="F51" s="6"/>
    </row>
    <row r="52" spans="1:7" x14ac:dyDescent="0.15">
      <c r="A52" s="6"/>
      <c r="B52" s="6"/>
      <c r="C52" s="6"/>
      <c r="E52" s="6"/>
      <c r="F52" s="6"/>
    </row>
    <row r="53" spans="1:7" x14ac:dyDescent="0.15">
      <c r="A53" s="6"/>
      <c r="B53" s="6"/>
      <c r="C53" s="6"/>
      <c r="E53" s="6"/>
      <c r="F53" s="6"/>
    </row>
    <row r="54" spans="1:7" x14ac:dyDescent="0.15">
      <c r="A54" s="6"/>
      <c r="B54" s="6"/>
      <c r="C54" s="6"/>
      <c r="E54" s="6"/>
      <c r="F54" s="6"/>
    </row>
    <row r="55" spans="1:7" x14ac:dyDescent="0.15">
      <c r="A55" s="6"/>
      <c r="B55" s="6"/>
      <c r="C55" s="6"/>
      <c r="E55" s="6"/>
      <c r="F55" s="6"/>
    </row>
    <row r="56" spans="1:7" x14ac:dyDescent="0.15">
      <c r="A56" s="6"/>
      <c r="B56" s="6"/>
      <c r="C56" s="6"/>
      <c r="E56" s="6"/>
      <c r="F56" s="6"/>
    </row>
    <row r="57" spans="1:7" x14ac:dyDescent="0.15">
      <c r="A57" s="6"/>
      <c r="B57" s="6"/>
      <c r="C57" s="6"/>
      <c r="E57" s="6"/>
      <c r="F57" s="6"/>
    </row>
    <row r="58" spans="1:7" x14ac:dyDescent="0.15">
      <c r="A58" s="6"/>
      <c r="B58" s="6"/>
      <c r="C58" s="6"/>
      <c r="E58" s="6"/>
      <c r="F58" s="6"/>
    </row>
    <row r="61" spans="1:7" x14ac:dyDescent="0.15">
      <c r="A61" s="6"/>
      <c r="B61" s="6"/>
      <c r="C61" s="6"/>
      <c r="E61" s="6"/>
      <c r="F61" s="6"/>
      <c r="G61" s="7"/>
    </row>
    <row r="62" spans="1:7" x14ac:dyDescent="0.15">
      <c r="A62" s="6"/>
      <c r="B62" s="6"/>
      <c r="C62" s="6"/>
      <c r="E62" s="6"/>
      <c r="F62" s="6"/>
    </row>
    <row r="63" spans="1:7" x14ac:dyDescent="0.15">
      <c r="A63" s="6"/>
      <c r="B63" s="6"/>
      <c r="C63" s="6"/>
      <c r="E63" s="6"/>
      <c r="F63" s="6"/>
    </row>
    <row r="64" spans="1:7" x14ac:dyDescent="0.15">
      <c r="A64" s="6"/>
      <c r="B64" s="6"/>
      <c r="C64" s="6"/>
      <c r="E64" s="6"/>
      <c r="F64" s="6"/>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abSelected="1" zoomScaleNormal="100" workbookViewId="0">
      <selection activeCell="G51" sqref="G51"/>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157</v>
      </c>
      <c r="C1" s="7" t="s">
        <v>158</v>
      </c>
      <c r="D1" s="26" t="s">
        <v>401</v>
      </c>
      <c r="E1" s="7" t="s">
        <v>100</v>
      </c>
      <c r="F1" s="26" t="s">
        <v>376</v>
      </c>
      <c r="G1" s="26" t="s">
        <v>377</v>
      </c>
    </row>
    <row r="2" spans="1:14" x14ac:dyDescent="0.15">
      <c r="A2" s="8">
        <v>1</v>
      </c>
      <c r="B2" s="9" t="s">
        <v>159</v>
      </c>
      <c r="C2" s="8" t="s">
        <v>160</v>
      </c>
      <c r="D2" s="8">
        <v>1</v>
      </c>
      <c r="E2" s="8">
        <v>5000</v>
      </c>
      <c r="F2" s="36" t="s">
        <v>406</v>
      </c>
      <c r="G2" s="36" t="s">
        <v>543</v>
      </c>
      <c r="M2" s="17"/>
    </row>
    <row r="3" spans="1:14" x14ac:dyDescent="0.15">
      <c r="A3" s="8">
        <v>2</v>
      </c>
      <c r="B3" s="19" t="s">
        <v>231</v>
      </c>
      <c r="C3" s="8" t="s">
        <v>183</v>
      </c>
      <c r="D3" s="8">
        <v>1</v>
      </c>
      <c r="E3" s="8">
        <v>5000</v>
      </c>
      <c r="F3" s="36" t="s">
        <v>540</v>
      </c>
      <c r="G3" s="36" t="s">
        <v>541</v>
      </c>
    </row>
    <row r="4" spans="1:14" x14ac:dyDescent="0.15">
      <c r="A4" s="8">
        <v>3</v>
      </c>
      <c r="B4" s="17" t="s">
        <v>237</v>
      </c>
      <c r="C4" s="18" t="s">
        <v>248</v>
      </c>
      <c r="D4" s="8">
        <v>1</v>
      </c>
      <c r="E4" s="8">
        <v>5000</v>
      </c>
      <c r="F4" s="17" t="s">
        <v>546</v>
      </c>
      <c r="G4" s="17" t="s">
        <v>546</v>
      </c>
    </row>
    <row r="5" spans="1:14" x14ac:dyDescent="0.15">
      <c r="A5" s="8">
        <v>4</v>
      </c>
      <c r="B5" s="9" t="s">
        <v>171</v>
      </c>
      <c r="C5" s="8" t="s">
        <v>172</v>
      </c>
      <c r="D5" s="8">
        <v>1</v>
      </c>
      <c r="E5" s="8">
        <v>5000</v>
      </c>
      <c r="F5" s="17" t="s">
        <v>393</v>
      </c>
      <c r="G5" s="17" t="s">
        <v>316</v>
      </c>
    </row>
    <row r="6" spans="1:14" x14ac:dyDescent="0.15">
      <c r="A6" s="8">
        <v>5</v>
      </c>
      <c r="B6" s="19" t="s">
        <v>230</v>
      </c>
      <c r="C6" s="8" t="s">
        <v>180</v>
      </c>
      <c r="D6" s="8">
        <v>1</v>
      </c>
      <c r="E6" s="8">
        <v>5000</v>
      </c>
      <c r="F6" s="17" t="s">
        <v>390</v>
      </c>
      <c r="G6" s="17" t="s">
        <v>318</v>
      </c>
    </row>
    <row r="7" spans="1:14" x14ac:dyDescent="0.15">
      <c r="A7" s="8">
        <v>6</v>
      </c>
      <c r="B7" s="9" t="s">
        <v>178</v>
      </c>
      <c r="C7" s="8" t="s">
        <v>179</v>
      </c>
      <c r="D7" s="8">
        <v>1</v>
      </c>
      <c r="E7" s="8">
        <v>5000</v>
      </c>
      <c r="F7" s="17" t="s">
        <v>391</v>
      </c>
      <c r="G7" s="17" t="s">
        <v>317</v>
      </c>
    </row>
    <row r="8" spans="1:14" x14ac:dyDescent="0.15">
      <c r="A8" s="8">
        <v>7</v>
      </c>
      <c r="B8" s="9" t="s">
        <v>184</v>
      </c>
      <c r="C8" s="8" t="s">
        <v>185</v>
      </c>
      <c r="D8" s="8">
        <v>1</v>
      </c>
      <c r="E8" s="8">
        <v>5000</v>
      </c>
      <c r="F8" s="17" t="s">
        <v>388</v>
      </c>
      <c r="G8" s="17" t="s">
        <v>320</v>
      </c>
    </row>
    <row r="9" spans="1:14" x14ac:dyDescent="0.15">
      <c r="A9" s="8">
        <v>8</v>
      </c>
      <c r="B9" s="9" t="s">
        <v>176</v>
      </c>
      <c r="C9" s="8" t="s">
        <v>177</v>
      </c>
      <c r="D9" s="8">
        <v>1</v>
      </c>
      <c r="E9" s="8">
        <v>5000</v>
      </c>
      <c r="F9" s="17" t="s">
        <v>292</v>
      </c>
      <c r="G9" s="17" t="s">
        <v>292</v>
      </c>
    </row>
    <row r="10" spans="1:14" x14ac:dyDescent="0.15">
      <c r="A10" s="8">
        <v>9</v>
      </c>
      <c r="B10" s="9" t="s">
        <v>161</v>
      </c>
      <c r="C10" s="8" t="s">
        <v>162</v>
      </c>
      <c r="D10" s="8">
        <v>1</v>
      </c>
      <c r="E10" s="8">
        <v>5000</v>
      </c>
      <c r="F10" s="17" t="s">
        <v>405</v>
      </c>
      <c r="G10" s="17" t="s">
        <v>306</v>
      </c>
      <c r="M10" s="17"/>
    </row>
    <row r="11" spans="1:14" x14ac:dyDescent="0.15">
      <c r="A11" s="8">
        <v>10</v>
      </c>
      <c r="B11" s="6" t="s">
        <v>163</v>
      </c>
      <c r="C11" s="8" t="s">
        <v>164</v>
      </c>
      <c r="E11" s="8">
        <v>5000</v>
      </c>
      <c r="F11" s="17" t="s">
        <v>404</v>
      </c>
      <c r="G11" s="17" t="s">
        <v>307</v>
      </c>
      <c r="L11" s="17"/>
      <c r="M11" s="17"/>
      <c r="N11" s="17"/>
    </row>
    <row r="12" spans="1:14" x14ac:dyDescent="0.15">
      <c r="A12" s="8">
        <v>11</v>
      </c>
      <c r="B12" s="17" t="s">
        <v>352</v>
      </c>
      <c r="C12" s="30" t="s">
        <v>399</v>
      </c>
      <c r="D12" s="8">
        <v>1</v>
      </c>
      <c r="E12" s="8">
        <v>5000</v>
      </c>
      <c r="F12" s="17" t="s">
        <v>353</v>
      </c>
      <c r="G12" s="17" t="s">
        <v>542</v>
      </c>
    </row>
    <row r="13" spans="1:14" x14ac:dyDescent="0.15">
      <c r="A13" s="8">
        <v>12</v>
      </c>
      <c r="B13" s="17" t="s">
        <v>416</v>
      </c>
      <c r="C13" s="30" t="s">
        <v>417</v>
      </c>
      <c r="D13" s="8">
        <v>1</v>
      </c>
      <c r="E13" s="8">
        <v>5000</v>
      </c>
      <c r="F13" s="17" t="s">
        <v>415</v>
      </c>
      <c r="G13" s="17" t="s">
        <v>544</v>
      </c>
    </row>
    <row r="14" spans="1:14" x14ac:dyDescent="0.15">
      <c r="A14" s="8">
        <v>13</v>
      </c>
      <c r="B14" s="17" t="s">
        <v>354</v>
      </c>
      <c r="C14" s="30" t="s">
        <v>402</v>
      </c>
      <c r="E14" s="8">
        <v>5000</v>
      </c>
      <c r="F14" s="17" t="s">
        <v>356</v>
      </c>
      <c r="G14" s="17" t="s">
        <v>545</v>
      </c>
    </row>
    <row r="15" spans="1:14" x14ac:dyDescent="0.15">
      <c r="A15" s="8">
        <v>14</v>
      </c>
      <c r="B15" s="9" t="s">
        <v>169</v>
      </c>
      <c r="C15" s="8" t="s">
        <v>170</v>
      </c>
      <c r="E15" s="8">
        <v>5000</v>
      </c>
      <c r="F15" s="17" t="s">
        <v>394</v>
      </c>
      <c r="G15" s="17" t="s">
        <v>308</v>
      </c>
    </row>
    <row r="16" spans="1:14" x14ac:dyDescent="0.15">
      <c r="A16" s="8">
        <v>15</v>
      </c>
      <c r="B16" s="9" t="s">
        <v>167</v>
      </c>
      <c r="C16" s="18" t="s">
        <v>270</v>
      </c>
      <c r="D16" s="8">
        <v>1</v>
      </c>
      <c r="E16" s="8">
        <v>5000</v>
      </c>
      <c r="F16" s="17" t="s">
        <v>291</v>
      </c>
      <c r="G16" s="17" t="s">
        <v>547</v>
      </c>
      <c r="H16" s="17"/>
    </row>
    <row r="17" spans="1:13" x14ac:dyDescent="0.15">
      <c r="A17" s="8">
        <v>16</v>
      </c>
      <c r="B17" s="19" t="s">
        <v>263</v>
      </c>
      <c r="C17" s="8" t="s">
        <v>166</v>
      </c>
      <c r="D17" s="8">
        <v>1</v>
      </c>
      <c r="E17" s="8">
        <v>5000</v>
      </c>
      <c r="F17" s="17" t="s">
        <v>395</v>
      </c>
      <c r="G17" s="17" t="s">
        <v>314</v>
      </c>
    </row>
    <row r="18" spans="1:13" x14ac:dyDescent="0.15">
      <c r="A18" s="8">
        <v>17</v>
      </c>
      <c r="B18" s="6" t="s">
        <v>191</v>
      </c>
      <c r="C18" s="30" t="s">
        <v>252</v>
      </c>
      <c r="D18" s="8">
        <v>1</v>
      </c>
      <c r="E18" s="8">
        <v>5000</v>
      </c>
      <c r="F18" s="17" t="s">
        <v>380</v>
      </c>
      <c r="G18" s="17" t="s">
        <v>311</v>
      </c>
    </row>
    <row r="19" spans="1:13" x14ac:dyDescent="0.15">
      <c r="A19" s="8">
        <v>18</v>
      </c>
      <c r="B19" s="19" t="s">
        <v>259</v>
      </c>
      <c r="C19" s="8" t="s">
        <v>165</v>
      </c>
      <c r="E19" s="8">
        <v>5000</v>
      </c>
      <c r="F19" s="17" t="s">
        <v>403</v>
      </c>
      <c r="G19" s="17" t="s">
        <v>313</v>
      </c>
      <c r="H19" s="17"/>
      <c r="M19" s="17"/>
    </row>
    <row r="20" spans="1:13" x14ac:dyDescent="0.15">
      <c r="A20" s="8">
        <v>19</v>
      </c>
      <c r="B20" s="17" t="s">
        <v>232</v>
      </c>
      <c r="C20" s="30" t="s">
        <v>243</v>
      </c>
      <c r="E20" s="8">
        <v>5000</v>
      </c>
      <c r="F20" s="17" t="s">
        <v>293</v>
      </c>
      <c r="G20" s="17" t="s">
        <v>293</v>
      </c>
    </row>
    <row r="21" spans="1:13" x14ac:dyDescent="0.15">
      <c r="A21" s="8">
        <v>20</v>
      </c>
      <c r="B21" s="17" t="s">
        <v>261</v>
      </c>
      <c r="C21" s="30" t="s">
        <v>244</v>
      </c>
      <c r="D21" s="8">
        <v>1</v>
      </c>
      <c r="E21" s="8">
        <v>5000</v>
      </c>
      <c r="F21" s="17" t="s">
        <v>328</v>
      </c>
      <c r="G21" s="17" t="s">
        <v>328</v>
      </c>
    </row>
    <row r="22" spans="1:13" x14ac:dyDescent="0.15">
      <c r="A22" s="8">
        <v>21</v>
      </c>
      <c r="B22" s="17" t="s">
        <v>236</v>
      </c>
      <c r="C22" s="18" t="s">
        <v>247</v>
      </c>
      <c r="D22" s="8">
        <v>1</v>
      </c>
      <c r="E22" s="8">
        <v>5000</v>
      </c>
      <c r="F22" s="17" t="s">
        <v>383</v>
      </c>
      <c r="G22" s="17" t="s">
        <v>312</v>
      </c>
    </row>
    <row r="23" spans="1:13" x14ac:dyDescent="0.15">
      <c r="A23" s="8">
        <v>22</v>
      </c>
      <c r="B23" s="17" t="s">
        <v>357</v>
      </c>
      <c r="C23" s="30" t="s">
        <v>397</v>
      </c>
      <c r="D23" s="8">
        <v>1</v>
      </c>
      <c r="E23" s="8">
        <v>5000</v>
      </c>
      <c r="F23" s="17" t="s">
        <v>410</v>
      </c>
      <c r="G23" s="17" t="s">
        <v>539</v>
      </c>
    </row>
    <row r="24" spans="1:13" x14ac:dyDescent="0.15">
      <c r="A24" s="8">
        <v>23</v>
      </c>
      <c r="B24" s="9" t="s">
        <v>186</v>
      </c>
      <c r="C24" s="8" t="s">
        <v>187</v>
      </c>
      <c r="D24" s="8">
        <v>1</v>
      </c>
      <c r="E24" s="8">
        <v>5000</v>
      </c>
      <c r="F24" s="17" t="s">
        <v>387</v>
      </c>
      <c r="G24" s="17" t="s">
        <v>321</v>
      </c>
    </row>
    <row r="25" spans="1:13" x14ac:dyDescent="0.15">
      <c r="A25" s="8">
        <v>24</v>
      </c>
      <c r="B25" s="19" t="s">
        <v>229</v>
      </c>
      <c r="C25" s="8" t="s">
        <v>173</v>
      </c>
      <c r="E25" s="8">
        <v>5000</v>
      </c>
      <c r="F25" s="17" t="s">
        <v>392</v>
      </c>
      <c r="G25" s="17" t="s">
        <v>309</v>
      </c>
    </row>
    <row r="26" spans="1:13" x14ac:dyDescent="0.15">
      <c r="A26" s="8">
        <v>25</v>
      </c>
      <c r="B26" s="17" t="s">
        <v>238</v>
      </c>
      <c r="C26" s="18" t="s">
        <v>249</v>
      </c>
      <c r="E26" s="8">
        <v>5000</v>
      </c>
      <c r="F26" s="17" t="s">
        <v>382</v>
      </c>
      <c r="G26" s="17" t="s">
        <v>310</v>
      </c>
    </row>
    <row r="27" spans="1:13" x14ac:dyDescent="0.15">
      <c r="A27" s="8">
        <v>26</v>
      </c>
      <c r="B27" s="17" t="s">
        <v>359</v>
      </c>
      <c r="C27" s="30" t="s">
        <v>400</v>
      </c>
      <c r="E27" s="8">
        <v>5000</v>
      </c>
      <c r="F27" s="17" t="s">
        <v>411</v>
      </c>
      <c r="G27" s="17" t="s">
        <v>538</v>
      </c>
    </row>
    <row r="28" spans="1:13" x14ac:dyDescent="0.15">
      <c r="A28" s="8">
        <v>27</v>
      </c>
      <c r="B28" s="17" t="s">
        <v>233</v>
      </c>
      <c r="C28" s="30" t="s">
        <v>245</v>
      </c>
      <c r="E28" s="8">
        <v>5000</v>
      </c>
      <c r="F28" s="17" t="s">
        <v>386</v>
      </c>
      <c r="G28" s="17" t="s">
        <v>322</v>
      </c>
    </row>
    <row r="29" spans="1:13" x14ac:dyDescent="0.15">
      <c r="A29" s="8">
        <v>28</v>
      </c>
      <c r="B29" s="9" t="s">
        <v>181</v>
      </c>
      <c r="C29" s="8" t="s">
        <v>182</v>
      </c>
      <c r="E29" s="8">
        <v>5000</v>
      </c>
      <c r="F29" s="17" t="s">
        <v>389</v>
      </c>
      <c r="G29" s="17" t="s">
        <v>319</v>
      </c>
    </row>
    <row r="30" spans="1:13" x14ac:dyDescent="0.15">
      <c r="A30" s="8">
        <v>29</v>
      </c>
      <c r="B30" s="17" t="s">
        <v>260</v>
      </c>
      <c r="C30" s="30" t="s">
        <v>246</v>
      </c>
      <c r="E30" s="8">
        <v>5000</v>
      </c>
      <c r="F30" s="17" t="s">
        <v>385</v>
      </c>
      <c r="G30" s="17" t="s">
        <v>323</v>
      </c>
    </row>
    <row r="31" spans="1:13" x14ac:dyDescent="0.15">
      <c r="A31" s="8">
        <v>30</v>
      </c>
      <c r="B31" s="9" t="s">
        <v>168</v>
      </c>
      <c r="C31" s="8" t="s">
        <v>242</v>
      </c>
      <c r="E31" s="8">
        <v>5000</v>
      </c>
      <c r="F31" s="17" t="s">
        <v>396</v>
      </c>
      <c r="G31" s="17" t="s">
        <v>315</v>
      </c>
    </row>
    <row r="32" spans="1:13" x14ac:dyDescent="0.15">
      <c r="A32" s="8">
        <v>31</v>
      </c>
      <c r="B32" s="9" t="s">
        <v>174</v>
      </c>
      <c r="C32" s="8" t="s">
        <v>175</v>
      </c>
      <c r="E32" s="8">
        <v>5000</v>
      </c>
      <c r="F32" s="17" t="s">
        <v>536</v>
      </c>
      <c r="G32" s="36" t="s">
        <v>537</v>
      </c>
    </row>
    <row r="33" spans="1:7" x14ac:dyDescent="0.15">
      <c r="A33" s="8">
        <v>32</v>
      </c>
      <c r="B33" s="6" t="s">
        <v>327</v>
      </c>
      <c r="C33" s="18" t="s">
        <v>255</v>
      </c>
      <c r="E33" s="8">
        <v>5000</v>
      </c>
      <c r="F33" s="17" t="s">
        <v>378</v>
      </c>
      <c r="G33" s="17" t="s">
        <v>358</v>
      </c>
    </row>
    <row r="34" spans="1:7" x14ac:dyDescent="0.15">
      <c r="A34" s="8">
        <v>33</v>
      </c>
      <c r="B34" s="17" t="s">
        <v>412</v>
      </c>
      <c r="C34" s="30" t="s">
        <v>413</v>
      </c>
      <c r="E34" s="8">
        <v>5000</v>
      </c>
      <c r="F34" s="17" t="s">
        <v>414</v>
      </c>
      <c r="G34" s="17" t="s">
        <v>535</v>
      </c>
    </row>
    <row r="35" spans="1:7" x14ac:dyDescent="0.15">
      <c r="A35" s="8">
        <v>34</v>
      </c>
      <c r="B35" s="17" t="s">
        <v>239</v>
      </c>
      <c r="C35" s="30" t="s">
        <v>254</v>
      </c>
      <c r="E35" s="8">
        <v>5000</v>
      </c>
      <c r="F35" s="17" t="s">
        <v>379</v>
      </c>
      <c r="G35" s="17" t="s">
        <v>326</v>
      </c>
    </row>
    <row r="36" spans="1:7" x14ac:dyDescent="0.15">
      <c r="A36" s="8">
        <v>35</v>
      </c>
      <c r="B36" s="17" t="s">
        <v>250</v>
      </c>
      <c r="C36" s="18" t="s">
        <v>251</v>
      </c>
      <c r="E36" s="8">
        <v>5000</v>
      </c>
      <c r="F36" s="17" t="s">
        <v>381</v>
      </c>
      <c r="G36" s="17" t="s">
        <v>325</v>
      </c>
    </row>
    <row r="37" spans="1:7" x14ac:dyDescent="0.15">
      <c r="A37" s="8">
        <v>36</v>
      </c>
      <c r="B37" s="17" t="s">
        <v>360</v>
      </c>
      <c r="C37" s="30" t="s">
        <v>398</v>
      </c>
      <c r="E37" s="8">
        <v>5000</v>
      </c>
      <c r="F37" s="17" t="s">
        <v>367</v>
      </c>
      <c r="G37" s="17" t="s">
        <v>534</v>
      </c>
    </row>
    <row r="38" spans="1:7" x14ac:dyDescent="0.15">
      <c r="A38" s="8">
        <v>37</v>
      </c>
      <c r="B38" s="17" t="s">
        <v>350</v>
      </c>
      <c r="C38" s="30" t="s">
        <v>351</v>
      </c>
      <c r="E38" s="8">
        <v>5000</v>
      </c>
      <c r="F38" s="17" t="s">
        <v>355</v>
      </c>
      <c r="G38" s="17" t="s">
        <v>548</v>
      </c>
    </row>
    <row r="39" spans="1:7" x14ac:dyDescent="0.15">
      <c r="A39" s="8">
        <v>38</v>
      </c>
      <c r="B39" s="17" t="s">
        <v>262</v>
      </c>
      <c r="C39" s="34" t="s">
        <v>253</v>
      </c>
      <c r="E39" s="8">
        <v>120000</v>
      </c>
      <c r="F39" s="17" t="s">
        <v>294</v>
      </c>
      <c r="G39" s="17" t="s">
        <v>294</v>
      </c>
    </row>
    <row r="40" spans="1:7" x14ac:dyDescent="0.15">
      <c r="A40" s="8">
        <v>39</v>
      </c>
      <c r="B40" s="17" t="s">
        <v>234</v>
      </c>
      <c r="C40" s="35" t="s">
        <v>188</v>
      </c>
      <c r="E40" s="8">
        <v>120000</v>
      </c>
      <c r="F40" s="17" t="s">
        <v>235</v>
      </c>
      <c r="G40" s="17" t="s">
        <v>235</v>
      </c>
    </row>
    <row r="41" spans="1:7" x14ac:dyDescent="0.15">
      <c r="A41" s="8">
        <v>40</v>
      </c>
      <c r="B41" s="9" t="s">
        <v>189</v>
      </c>
      <c r="C41" s="27" t="s">
        <v>190</v>
      </c>
      <c r="E41" s="8">
        <v>200000</v>
      </c>
      <c r="F41" s="17" t="s">
        <v>384</v>
      </c>
      <c r="G41" s="17" t="s">
        <v>324</v>
      </c>
    </row>
    <row r="42" spans="1:7" x14ac:dyDescent="0.15">
      <c r="B42" s="17"/>
    </row>
    <row r="44" spans="1:7" x14ac:dyDescent="0.15">
      <c r="C44" s="31"/>
      <c r="D44" s="31"/>
      <c r="E44" s="11"/>
      <c r="F44" s="17" t="s">
        <v>271</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64"/>
  <sheetViews>
    <sheetView topLeftCell="A13" zoomScale="130" zoomScaleNormal="130" workbookViewId="0">
      <selection activeCell="D48" sqref="D48"/>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60</v>
      </c>
      <c r="B1" s="7" t="s">
        <v>44</v>
      </c>
      <c r="C1" s="7" t="s">
        <v>192</v>
      </c>
      <c r="D1" s="7" t="s">
        <v>193</v>
      </c>
    </row>
    <row r="2" spans="1:4" x14ac:dyDescent="0.15">
      <c r="A2" s="8">
        <v>1</v>
      </c>
      <c r="B2" s="8">
        <v>2000</v>
      </c>
      <c r="C2" s="18" t="s">
        <v>430</v>
      </c>
      <c r="D2" s="9" t="s">
        <v>194</v>
      </c>
    </row>
    <row r="3" spans="1:4" x14ac:dyDescent="0.15">
      <c r="A3" s="8">
        <v>2</v>
      </c>
      <c r="B3" s="8">
        <v>2000</v>
      </c>
      <c r="C3" s="18" t="s">
        <v>526</v>
      </c>
      <c r="D3" s="19" t="s">
        <v>471</v>
      </c>
    </row>
    <row r="4" spans="1:4" x14ac:dyDescent="0.15">
      <c r="A4" s="8">
        <v>3</v>
      </c>
      <c r="B4" s="8">
        <v>2000</v>
      </c>
      <c r="C4" s="18" t="s">
        <v>431</v>
      </c>
      <c r="D4" s="19" t="s">
        <v>472</v>
      </c>
    </row>
    <row r="5" spans="1:4" x14ac:dyDescent="0.15">
      <c r="A5" s="8">
        <v>4</v>
      </c>
      <c r="B5" s="8">
        <v>2000</v>
      </c>
      <c r="C5" s="18" t="s">
        <v>432</v>
      </c>
      <c r="D5" s="19" t="s">
        <v>470</v>
      </c>
    </row>
    <row r="6" spans="1:4" x14ac:dyDescent="0.15">
      <c r="A6" s="8">
        <v>5</v>
      </c>
      <c r="B6" s="8">
        <v>2000</v>
      </c>
      <c r="C6" s="18" t="s">
        <v>433</v>
      </c>
      <c r="D6" s="19" t="s">
        <v>465</v>
      </c>
    </row>
    <row r="7" spans="1:4" x14ac:dyDescent="0.15">
      <c r="A7" s="8">
        <v>6</v>
      </c>
      <c r="B7" s="8">
        <v>2000</v>
      </c>
      <c r="C7" s="18" t="s">
        <v>434</v>
      </c>
      <c r="D7" s="19" t="s">
        <v>466</v>
      </c>
    </row>
    <row r="8" spans="1:4" x14ac:dyDescent="0.15">
      <c r="A8" s="8">
        <v>7</v>
      </c>
      <c r="B8" s="8">
        <v>2000</v>
      </c>
      <c r="C8" s="18" t="s">
        <v>435</v>
      </c>
      <c r="D8" s="19" t="s">
        <v>467</v>
      </c>
    </row>
    <row r="9" spans="1:4" x14ac:dyDescent="0.15">
      <c r="A9" s="8">
        <v>8</v>
      </c>
      <c r="B9" s="8">
        <v>2000</v>
      </c>
      <c r="C9" s="18" t="s">
        <v>436</v>
      </c>
      <c r="D9" s="19" t="s">
        <v>468</v>
      </c>
    </row>
    <row r="10" spans="1:4" x14ac:dyDescent="0.15">
      <c r="A10" s="8">
        <v>9</v>
      </c>
      <c r="B10" s="8">
        <v>2000</v>
      </c>
      <c r="C10" s="18" t="s">
        <v>437</v>
      </c>
      <c r="D10" s="19" t="s">
        <v>469</v>
      </c>
    </row>
    <row r="11" spans="1:4" x14ac:dyDescent="0.15">
      <c r="A11" s="8">
        <v>10</v>
      </c>
      <c r="B11" s="8">
        <v>2000</v>
      </c>
      <c r="C11" s="18" t="s">
        <v>438</v>
      </c>
      <c r="D11" s="19" t="s">
        <v>512</v>
      </c>
    </row>
    <row r="12" spans="1:4" x14ac:dyDescent="0.15">
      <c r="A12" s="8">
        <v>11</v>
      </c>
      <c r="B12" s="8">
        <v>2000</v>
      </c>
      <c r="C12" s="18" t="s">
        <v>439</v>
      </c>
      <c r="D12" s="19" t="s">
        <v>511</v>
      </c>
    </row>
    <row r="13" spans="1:4" x14ac:dyDescent="0.15">
      <c r="A13" s="8">
        <v>12</v>
      </c>
      <c r="B13" s="8">
        <v>2000</v>
      </c>
      <c r="C13" s="18" t="s">
        <v>440</v>
      </c>
      <c r="D13" s="19" t="s">
        <v>510</v>
      </c>
    </row>
    <row r="14" spans="1:4" x14ac:dyDescent="0.15">
      <c r="A14" s="8">
        <v>13</v>
      </c>
      <c r="B14" s="8">
        <v>2000</v>
      </c>
      <c r="C14" s="18" t="s">
        <v>441</v>
      </c>
      <c r="D14" s="19" t="s">
        <v>509</v>
      </c>
    </row>
    <row r="15" spans="1:4" x14ac:dyDescent="0.15">
      <c r="A15" s="8">
        <v>14</v>
      </c>
      <c r="B15" s="8">
        <v>2000</v>
      </c>
      <c r="C15" s="18" t="s">
        <v>442</v>
      </c>
      <c r="D15" s="19" t="s">
        <v>505</v>
      </c>
    </row>
    <row r="16" spans="1:4" x14ac:dyDescent="0.15">
      <c r="A16" s="8">
        <v>15</v>
      </c>
      <c r="B16" s="8">
        <v>2000</v>
      </c>
      <c r="C16" s="18" t="s">
        <v>443</v>
      </c>
      <c r="D16" s="19" t="s">
        <v>506</v>
      </c>
    </row>
    <row r="17" spans="1:4" x14ac:dyDescent="0.15">
      <c r="A17" s="8">
        <v>16</v>
      </c>
      <c r="B17" s="8">
        <v>2000</v>
      </c>
      <c r="C17" s="18" t="s">
        <v>444</v>
      </c>
      <c r="D17" s="19" t="s">
        <v>507</v>
      </c>
    </row>
    <row r="18" spans="1:4" x14ac:dyDescent="0.15">
      <c r="A18" s="8">
        <v>17</v>
      </c>
      <c r="B18" s="8">
        <v>2000</v>
      </c>
      <c r="C18" s="18" t="s">
        <v>445</v>
      </c>
      <c r="D18" s="19" t="s">
        <v>508</v>
      </c>
    </row>
    <row r="19" spans="1:4" x14ac:dyDescent="0.15">
      <c r="A19" s="8">
        <v>18</v>
      </c>
      <c r="B19" s="8">
        <v>2000</v>
      </c>
      <c r="C19" s="18" t="s">
        <v>446</v>
      </c>
      <c r="D19" s="17" t="s">
        <v>476</v>
      </c>
    </row>
    <row r="20" spans="1:4" x14ac:dyDescent="0.15">
      <c r="A20" s="8">
        <v>19</v>
      </c>
      <c r="B20" s="8">
        <v>2000</v>
      </c>
      <c r="C20" s="18" t="s">
        <v>447</v>
      </c>
      <c r="D20" s="17" t="s">
        <v>478</v>
      </c>
    </row>
    <row r="21" spans="1:4" x14ac:dyDescent="0.15">
      <c r="A21" s="8">
        <v>20</v>
      </c>
      <c r="B21" s="8">
        <v>2000</v>
      </c>
      <c r="C21" s="18" t="s">
        <v>448</v>
      </c>
      <c r="D21" s="17" t="s">
        <v>477</v>
      </c>
    </row>
    <row r="22" spans="1:4" x14ac:dyDescent="0.15">
      <c r="A22" s="8">
        <v>21</v>
      </c>
      <c r="B22" s="8">
        <v>2000</v>
      </c>
      <c r="C22" s="18" t="s">
        <v>449</v>
      </c>
      <c r="D22" s="17" t="s">
        <v>522</v>
      </c>
    </row>
    <row r="23" spans="1:4" x14ac:dyDescent="0.15">
      <c r="A23" s="8">
        <v>22</v>
      </c>
      <c r="B23" s="8">
        <v>2000</v>
      </c>
      <c r="C23" s="18" t="s">
        <v>450</v>
      </c>
      <c r="D23" s="17" t="s">
        <v>521</v>
      </c>
    </row>
    <row r="24" spans="1:4" x14ac:dyDescent="0.15">
      <c r="A24" s="8">
        <v>23</v>
      </c>
      <c r="B24" s="8">
        <v>2000</v>
      </c>
      <c r="C24" s="18" t="s">
        <v>451</v>
      </c>
      <c r="D24" s="17" t="s">
        <v>479</v>
      </c>
    </row>
    <row r="25" spans="1:4" x14ac:dyDescent="0.15">
      <c r="A25" s="8">
        <v>24</v>
      </c>
      <c r="B25" s="8">
        <v>2000</v>
      </c>
      <c r="C25" s="18" t="s">
        <v>452</v>
      </c>
      <c r="D25" s="19" t="s">
        <v>473</v>
      </c>
    </row>
    <row r="26" spans="1:4" x14ac:dyDescent="0.15">
      <c r="A26" s="8">
        <v>25</v>
      </c>
      <c r="B26" s="8">
        <v>2000</v>
      </c>
      <c r="C26" s="18" t="s">
        <v>453</v>
      </c>
      <c r="D26" s="19" t="s">
        <v>475</v>
      </c>
    </row>
    <row r="27" spans="1:4" x14ac:dyDescent="0.15">
      <c r="A27" s="8">
        <v>26</v>
      </c>
      <c r="B27" s="8">
        <v>2000</v>
      </c>
      <c r="C27" s="18" t="s">
        <v>454</v>
      </c>
      <c r="D27" s="19" t="s">
        <v>501</v>
      </c>
    </row>
    <row r="28" spans="1:4" x14ac:dyDescent="0.15">
      <c r="A28" s="8">
        <v>27</v>
      </c>
      <c r="B28" s="8">
        <v>2000</v>
      </c>
      <c r="C28" s="18" t="s">
        <v>455</v>
      </c>
      <c r="D28" s="19" t="s">
        <v>502</v>
      </c>
    </row>
    <row r="29" spans="1:4" x14ac:dyDescent="0.15">
      <c r="A29" s="8">
        <v>28</v>
      </c>
      <c r="B29" s="8">
        <v>2000</v>
      </c>
      <c r="C29" s="18" t="s">
        <v>456</v>
      </c>
      <c r="D29" s="19" t="s">
        <v>503</v>
      </c>
    </row>
    <row r="30" spans="1:4" x14ac:dyDescent="0.15">
      <c r="A30" s="8">
        <v>29</v>
      </c>
      <c r="B30" s="8">
        <v>2000</v>
      </c>
      <c r="C30" s="18" t="s">
        <v>457</v>
      </c>
      <c r="D30" s="19" t="s">
        <v>474</v>
      </c>
    </row>
    <row r="31" spans="1:4" x14ac:dyDescent="0.15">
      <c r="A31" s="8">
        <v>30</v>
      </c>
      <c r="B31" s="8">
        <v>2000</v>
      </c>
      <c r="C31" s="18" t="s">
        <v>458</v>
      </c>
      <c r="D31" s="19" t="s">
        <v>504</v>
      </c>
    </row>
    <row r="32" spans="1:4" x14ac:dyDescent="0.15">
      <c r="A32" s="8">
        <v>31</v>
      </c>
      <c r="B32" s="8">
        <v>2000</v>
      </c>
      <c r="C32" s="18" t="s">
        <v>459</v>
      </c>
      <c r="D32" s="19" t="s">
        <v>513</v>
      </c>
    </row>
    <row r="33" spans="1:4" x14ac:dyDescent="0.15">
      <c r="A33" s="8">
        <v>32</v>
      </c>
      <c r="B33" s="8">
        <v>2000</v>
      </c>
      <c r="C33" s="18" t="s">
        <v>460</v>
      </c>
      <c r="D33" s="19" t="s">
        <v>514</v>
      </c>
    </row>
    <row r="34" spans="1:4" x14ac:dyDescent="0.15">
      <c r="A34" s="8">
        <v>33</v>
      </c>
      <c r="B34" s="8">
        <v>2000</v>
      </c>
      <c r="C34" s="18" t="s">
        <v>461</v>
      </c>
      <c r="D34" s="19" t="s">
        <v>527</v>
      </c>
    </row>
    <row r="35" spans="1:4" x14ac:dyDescent="0.15">
      <c r="A35" s="8">
        <v>34</v>
      </c>
      <c r="B35" s="8">
        <v>2000</v>
      </c>
      <c r="C35" s="18" t="s">
        <v>462</v>
      </c>
      <c r="D35" s="19" t="s">
        <v>528</v>
      </c>
    </row>
    <row r="36" spans="1:4" x14ac:dyDescent="0.15">
      <c r="A36" s="8">
        <v>35</v>
      </c>
      <c r="B36" s="8">
        <v>2000</v>
      </c>
      <c r="C36" s="18" t="s">
        <v>463</v>
      </c>
      <c r="D36" s="19" t="s">
        <v>515</v>
      </c>
    </row>
    <row r="37" spans="1:4" x14ac:dyDescent="0.15">
      <c r="A37" s="8">
        <v>36</v>
      </c>
      <c r="B37" s="8">
        <v>2000</v>
      </c>
      <c r="C37" s="18" t="s">
        <v>464</v>
      </c>
      <c r="D37" s="19" t="s">
        <v>516</v>
      </c>
    </row>
    <row r="38" spans="1:4" x14ac:dyDescent="0.15">
      <c r="A38" s="8">
        <v>37</v>
      </c>
      <c r="B38" s="8">
        <v>2000</v>
      </c>
      <c r="C38" s="18" t="s">
        <v>487</v>
      </c>
      <c r="D38" s="19" t="s">
        <v>517</v>
      </c>
    </row>
    <row r="39" spans="1:4" x14ac:dyDescent="0.15">
      <c r="A39" s="8">
        <v>38</v>
      </c>
      <c r="B39" s="8">
        <v>2000</v>
      </c>
      <c r="C39" s="18" t="s">
        <v>488</v>
      </c>
      <c r="D39" s="19" t="s">
        <v>518</v>
      </c>
    </row>
    <row r="40" spans="1:4" x14ac:dyDescent="0.15">
      <c r="A40" s="8">
        <v>39</v>
      </c>
      <c r="B40" s="8">
        <v>2000</v>
      </c>
      <c r="C40" s="18" t="s">
        <v>489</v>
      </c>
      <c r="D40" s="19" t="s">
        <v>519</v>
      </c>
    </row>
    <row r="41" spans="1:4" x14ac:dyDescent="0.15">
      <c r="A41" s="8">
        <v>40</v>
      </c>
      <c r="B41" s="8">
        <v>2000</v>
      </c>
      <c r="C41" s="18" t="s">
        <v>490</v>
      </c>
      <c r="D41" s="19" t="s">
        <v>520</v>
      </c>
    </row>
    <row r="42" spans="1:4" x14ac:dyDescent="0.15">
      <c r="A42" s="8">
        <v>41</v>
      </c>
      <c r="B42" s="8">
        <v>2000</v>
      </c>
      <c r="C42" s="18" t="s">
        <v>491</v>
      </c>
      <c r="D42" s="17" t="s">
        <v>523</v>
      </c>
    </row>
    <row r="43" spans="1:4" x14ac:dyDescent="0.15">
      <c r="A43" s="8">
        <v>42</v>
      </c>
      <c r="B43" s="8">
        <v>2000</v>
      </c>
      <c r="C43" s="18" t="s">
        <v>492</v>
      </c>
      <c r="D43" s="17" t="s">
        <v>524</v>
      </c>
    </row>
    <row r="44" spans="1:4" x14ac:dyDescent="0.15">
      <c r="A44" s="8">
        <v>43</v>
      </c>
      <c r="B44" s="8">
        <v>2000</v>
      </c>
      <c r="C44" s="18" t="s">
        <v>493</v>
      </c>
      <c r="D44" s="17" t="s">
        <v>525</v>
      </c>
    </row>
    <row r="45" spans="1:4" x14ac:dyDescent="0.15">
      <c r="A45" s="8">
        <v>44</v>
      </c>
      <c r="B45" s="8">
        <v>2000</v>
      </c>
      <c r="C45" s="18" t="s">
        <v>494</v>
      </c>
      <c r="D45" s="17" t="s">
        <v>484</v>
      </c>
    </row>
    <row r="46" spans="1:4" x14ac:dyDescent="0.15">
      <c r="A46" s="8">
        <v>45</v>
      </c>
      <c r="B46" s="8">
        <v>2000</v>
      </c>
      <c r="C46" s="18" t="s">
        <v>495</v>
      </c>
      <c r="D46" s="17" t="s">
        <v>486</v>
      </c>
    </row>
    <row r="47" spans="1:4" x14ac:dyDescent="0.15">
      <c r="A47" s="8">
        <v>46</v>
      </c>
      <c r="B47" s="8">
        <v>2000</v>
      </c>
      <c r="C47" s="18" t="s">
        <v>496</v>
      </c>
      <c r="D47" s="17" t="s">
        <v>485</v>
      </c>
    </row>
    <row r="48" spans="1:4" x14ac:dyDescent="0.15">
      <c r="A48" s="8">
        <v>47</v>
      </c>
      <c r="B48" s="8">
        <v>2000</v>
      </c>
      <c r="C48" s="18" t="s">
        <v>497</v>
      </c>
      <c r="D48" s="19" t="s">
        <v>482</v>
      </c>
    </row>
    <row r="49" spans="1:4" x14ac:dyDescent="0.15">
      <c r="A49" s="8">
        <v>48</v>
      </c>
      <c r="B49" s="8">
        <v>2000</v>
      </c>
      <c r="C49" s="18" t="s">
        <v>498</v>
      </c>
      <c r="D49" s="19" t="s">
        <v>481</v>
      </c>
    </row>
    <row r="50" spans="1:4" x14ac:dyDescent="0.15">
      <c r="A50" s="8">
        <v>49</v>
      </c>
      <c r="B50" s="8">
        <v>2000</v>
      </c>
      <c r="C50" s="18" t="s">
        <v>499</v>
      </c>
      <c r="D50" s="19" t="s">
        <v>480</v>
      </c>
    </row>
    <row r="51" spans="1:4" x14ac:dyDescent="0.15">
      <c r="A51" s="8">
        <v>50</v>
      </c>
      <c r="B51" s="8">
        <v>2000</v>
      </c>
      <c r="C51" s="18" t="s">
        <v>500</v>
      </c>
      <c r="D51" s="19" t="s">
        <v>483</v>
      </c>
    </row>
    <row r="52" spans="1:4" x14ac:dyDescent="0.15">
      <c r="A52" s="8"/>
      <c r="B52" s="8"/>
      <c r="C52" s="18"/>
    </row>
    <row r="53" spans="1:4" x14ac:dyDescent="0.15">
      <c r="A53" s="8"/>
      <c r="B53" s="8"/>
      <c r="C53" s="18"/>
    </row>
    <row r="54" spans="1:4" x14ac:dyDescent="0.15">
      <c r="A54" s="8"/>
      <c r="B54" s="8"/>
      <c r="C54" s="18"/>
    </row>
    <row r="55" spans="1:4" x14ac:dyDescent="0.15">
      <c r="A55" s="8"/>
      <c r="B55" s="8"/>
      <c r="C55" s="18"/>
      <c r="D55" s="19"/>
    </row>
    <row r="56" spans="1:4" x14ac:dyDescent="0.15">
      <c r="A56" s="8"/>
      <c r="B56" s="8"/>
      <c r="C56" s="18"/>
    </row>
    <row r="57" spans="1:4" x14ac:dyDescent="0.15">
      <c r="A57" s="8"/>
      <c r="B57" s="8"/>
      <c r="C57" s="18"/>
    </row>
    <row r="58" spans="1:4" x14ac:dyDescent="0.15">
      <c r="A58" s="8"/>
      <c r="B58" s="8"/>
      <c r="C58" s="18"/>
    </row>
    <row r="59" spans="1:4" x14ac:dyDescent="0.15">
      <c r="A59" s="8"/>
      <c r="B59" s="8"/>
      <c r="C59" s="18"/>
    </row>
    <row r="60" spans="1:4" x14ac:dyDescent="0.15">
      <c r="A60" s="8"/>
      <c r="B60" s="8"/>
      <c r="C60" s="18"/>
    </row>
    <row r="61" spans="1:4" x14ac:dyDescent="0.15">
      <c r="A61" s="8"/>
      <c r="B61" s="8"/>
      <c r="C61" s="18"/>
    </row>
    <row r="62" spans="1:4" x14ac:dyDescent="0.15">
      <c r="A62" s="8"/>
      <c r="B62" s="8"/>
      <c r="C62" s="18"/>
    </row>
    <row r="63" spans="1:4" x14ac:dyDescent="0.15">
      <c r="A63" s="8"/>
      <c r="B63" s="8"/>
      <c r="C63" s="18"/>
    </row>
    <row r="64" spans="1:4" x14ac:dyDescent="0.15">
      <c r="A64" s="8"/>
      <c r="B64" s="8"/>
      <c r="C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topLeftCell="A4" zoomScale="130" zoomScaleNormal="130" workbookViewId="0">
      <selection activeCell="F6" sqref="F6"/>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195</v>
      </c>
      <c r="C1" s="5" t="s">
        <v>196</v>
      </c>
    </row>
    <row r="2" spans="1:3" ht="90.95" customHeight="1" x14ac:dyDescent="0.15">
      <c r="A2" s="14">
        <v>1</v>
      </c>
      <c r="B2" s="22" t="s">
        <v>197</v>
      </c>
      <c r="C2" s="23" t="s">
        <v>198</v>
      </c>
    </row>
    <row r="3" spans="1:3" ht="90.95" customHeight="1" x14ac:dyDescent="0.15">
      <c r="A3" s="14">
        <v>2</v>
      </c>
      <c r="B3" s="22" t="s">
        <v>199</v>
      </c>
      <c r="C3" s="23" t="s">
        <v>200</v>
      </c>
    </row>
    <row r="4" spans="1:3" ht="90.95" customHeight="1" x14ac:dyDescent="0.15">
      <c r="A4" s="14">
        <v>3</v>
      </c>
      <c r="B4" s="22" t="s">
        <v>201</v>
      </c>
      <c r="C4" s="23" t="s">
        <v>202</v>
      </c>
    </row>
    <row r="5" spans="1:3" ht="90.95" customHeight="1" x14ac:dyDescent="0.15">
      <c r="A5" s="14">
        <v>4</v>
      </c>
      <c r="B5" s="22" t="s">
        <v>203</v>
      </c>
      <c r="C5" s="23" t="s">
        <v>204</v>
      </c>
    </row>
    <row r="6" spans="1:3" ht="90.95" customHeight="1" x14ac:dyDescent="0.15">
      <c r="A6" s="14">
        <v>5</v>
      </c>
      <c r="B6" s="22" t="s">
        <v>193</v>
      </c>
      <c r="C6" s="23" t="s">
        <v>204</v>
      </c>
    </row>
    <row r="7" spans="1:3" ht="90.95" customHeight="1" x14ac:dyDescent="0.15">
      <c r="A7" s="1">
        <v>6</v>
      </c>
      <c r="B7" s="2" t="s">
        <v>205</v>
      </c>
      <c r="C7" s="3" t="s">
        <v>206</v>
      </c>
    </row>
    <row r="8" spans="1:3" ht="90.95" customHeight="1" x14ac:dyDescent="0.15">
      <c r="A8" s="1">
        <v>7</v>
      </c>
      <c r="B8" s="2" t="s">
        <v>207</v>
      </c>
      <c r="C8" s="3" t="s">
        <v>208</v>
      </c>
    </row>
    <row r="9" spans="1:3" ht="90.95" customHeight="1" x14ac:dyDescent="0.15">
      <c r="A9" s="14">
        <v>8</v>
      </c>
      <c r="B9" s="22" t="s">
        <v>209</v>
      </c>
      <c r="C9" s="23" t="s">
        <v>210</v>
      </c>
    </row>
    <row r="10" spans="1:3" ht="90.95" customHeight="1" x14ac:dyDescent="0.15">
      <c r="A10" s="14">
        <v>9</v>
      </c>
      <c r="B10" s="22" t="s">
        <v>211</v>
      </c>
      <c r="C10" s="23" t="s">
        <v>212</v>
      </c>
    </row>
    <row r="11" spans="1:3" ht="90.95" customHeight="1" x14ac:dyDescent="0.15">
      <c r="A11" s="14">
        <v>10</v>
      </c>
      <c r="B11" s="22" t="s">
        <v>213</v>
      </c>
      <c r="C11" s="23" t="s">
        <v>214</v>
      </c>
    </row>
    <row r="12" spans="1:3" ht="90.95" customHeight="1" x14ac:dyDescent="0.15">
      <c r="A12" s="14">
        <v>11</v>
      </c>
      <c r="B12" s="22" t="s">
        <v>215</v>
      </c>
      <c r="C12" s="23" t="s">
        <v>216</v>
      </c>
    </row>
    <row r="13" spans="1:3" ht="90.95" customHeight="1" x14ac:dyDescent="0.15">
      <c r="A13" s="14">
        <v>12</v>
      </c>
      <c r="B13" s="22" t="s">
        <v>217</v>
      </c>
      <c r="C13" s="23" t="s">
        <v>218</v>
      </c>
    </row>
    <row r="14" spans="1:3" ht="90.95" customHeight="1" x14ac:dyDescent="0.15">
      <c r="A14" s="14">
        <v>13</v>
      </c>
      <c r="B14" s="22" t="s">
        <v>219</v>
      </c>
      <c r="C14" s="23" t="s">
        <v>220</v>
      </c>
    </row>
    <row r="15" spans="1:3" ht="90.95" customHeight="1" x14ac:dyDescent="0.15">
      <c r="A15" s="14">
        <v>14</v>
      </c>
      <c r="B15" s="22" t="s">
        <v>221</v>
      </c>
      <c r="C15" s="23" t="s">
        <v>222</v>
      </c>
    </row>
    <row r="16" spans="1:3" ht="90.95" customHeight="1" x14ac:dyDescent="0.15">
      <c r="A16" s="1">
        <v>15</v>
      </c>
      <c r="B16" s="2" t="s">
        <v>223</v>
      </c>
      <c r="C16" s="3" t="s">
        <v>224</v>
      </c>
    </row>
    <row r="17" spans="1:3" ht="90.95" customHeight="1" x14ac:dyDescent="0.15">
      <c r="A17" s="14">
        <v>16</v>
      </c>
      <c r="B17" s="22" t="s">
        <v>225</v>
      </c>
      <c r="C17" s="23" t="s">
        <v>226</v>
      </c>
    </row>
    <row r="18" spans="1:3" ht="90.95" customHeight="1" x14ac:dyDescent="0.15">
      <c r="A18" s="14">
        <v>17</v>
      </c>
      <c r="B18" s="20" t="s">
        <v>240</v>
      </c>
      <c r="C18" s="21" t="s">
        <v>241</v>
      </c>
    </row>
    <row r="19" spans="1:3" ht="90.95" customHeight="1" x14ac:dyDescent="0.15">
      <c r="A19" s="14">
        <v>18</v>
      </c>
      <c r="B19" s="20" t="s">
        <v>268</v>
      </c>
      <c r="C19" s="21" t="s">
        <v>269</v>
      </c>
    </row>
    <row r="20" spans="1:3" ht="90.95" customHeight="1" x14ac:dyDescent="0.15">
      <c r="A20" s="14">
        <v>19</v>
      </c>
      <c r="B20" s="20" t="s">
        <v>529</v>
      </c>
      <c r="C20" s="23"/>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2025-12-20T08:57:29Z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